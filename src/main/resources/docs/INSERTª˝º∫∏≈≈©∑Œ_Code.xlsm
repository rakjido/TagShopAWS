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20" windowWidth="15480" windowHeight="11640" tabRatio="619" activeTab="1"/>
  </bookViews>
  <sheets>
    <sheet name="CODE" sheetId="51" r:id="rId1"/>
    <sheet name="CATEGORIES" sheetId="70" r:id="rId2"/>
  </sheets>
  <functionGroups/>
  <externalReferences>
    <externalReference r:id="rId3"/>
    <externalReference r:id="rId4"/>
  </externalReferences>
  <definedNames>
    <definedName name="APDATE">#REF!</definedName>
    <definedName name="APOBM">#REF!</definedName>
    <definedName name="APTR">#REF!</definedName>
    <definedName name="Trans_Func">#REF!</definedName>
    <definedName name="TRDATE">#REF!</definedName>
    <definedName name="어플리케이션명">[1]setup!#REF!</definedName>
    <definedName name="업무데이터">#REF!</definedName>
    <definedName name="업무헤더">#REF!</definedName>
    <definedName name="항목1">[2]Sheet3!$A$5:$A$13</definedName>
    <definedName name="헤더">#REF!</definedName>
  </definedNames>
  <calcPr calcId="124519"/>
</workbook>
</file>

<file path=xl/calcChain.xml><?xml version="1.0" encoding="utf-8"?>
<calcChain xmlns="http://schemas.openxmlformats.org/spreadsheetml/2006/main">
  <c r="A9" i="70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8"/>
  <c r="A9" i="51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8"/>
</calcChain>
</file>

<file path=xl/comments1.xml><?xml version="1.0" encoding="utf-8"?>
<comments xmlns="http://schemas.openxmlformats.org/spreadsheetml/2006/main">
  <authors>
    <author>merong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merong:</t>
        </r>
        <r>
          <rPr>
            <sz val="9"/>
            <color indexed="81"/>
            <rFont val="Tahoma"/>
            <family val="2"/>
          </rPr>
          <t xml:space="preserve">
=selectRow(table</t>
        </r>
        <r>
          <rPr>
            <sz val="9"/>
            <color indexed="81"/>
            <rFont val="돋움"/>
            <family val="3"/>
            <charset val="129"/>
          </rPr>
          <t>명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컬럼변수, 숫자_문자, 컬럼값)
시 INSERT SQL문이 생성
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merong: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 xml:space="preserve">숫자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문자</t>
        </r>
      </text>
    </comment>
  </commentList>
</comments>
</file>

<file path=xl/comments2.xml><?xml version="1.0" encoding="utf-8"?>
<comments xmlns="http://schemas.openxmlformats.org/spreadsheetml/2006/main">
  <authors>
    <author>merong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merong:</t>
        </r>
        <r>
          <rPr>
            <sz val="9"/>
            <color indexed="81"/>
            <rFont val="Tahoma"/>
            <family val="2"/>
          </rPr>
          <t xml:space="preserve">
=selectRow(table</t>
        </r>
        <r>
          <rPr>
            <sz val="9"/>
            <color indexed="81"/>
            <rFont val="돋움"/>
            <family val="3"/>
            <charset val="129"/>
          </rPr>
          <t>명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컬럼변수, 숫자_문자, 컬럼값)
시 INSERT SQL문이 생성
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merong: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 xml:space="preserve">숫자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문자</t>
        </r>
      </text>
    </comment>
  </commentList>
</comments>
</file>

<file path=xl/sharedStrings.xml><?xml version="1.0" encoding="utf-8"?>
<sst xmlns="http://schemas.openxmlformats.org/spreadsheetml/2006/main" count="583" uniqueCount="246">
  <si>
    <t>TABLE 명</t>
    <phoneticPr fontId="15" type="noConversion"/>
  </si>
  <si>
    <t>INSERT문</t>
    <phoneticPr fontId="15" type="noConversion"/>
  </si>
  <si>
    <t>EUR</t>
  </si>
  <si>
    <t>USD</t>
  </si>
  <si>
    <t>JPY</t>
  </si>
  <si>
    <t>KRW</t>
  </si>
  <si>
    <t>CODE</t>
    <phoneticPr fontId="15" type="noConversion"/>
  </si>
  <si>
    <t>ClassCode</t>
    <phoneticPr fontId="15" type="noConversion"/>
  </si>
  <si>
    <t>ClassName</t>
    <phoneticPr fontId="15" type="noConversion"/>
  </si>
  <si>
    <t>Code</t>
    <phoneticPr fontId="15" type="noConversion"/>
  </si>
  <si>
    <t>CodeName</t>
    <phoneticPr fontId="15" type="noConversion"/>
  </si>
  <si>
    <t>Orders</t>
    <phoneticPr fontId="15" type="noConversion"/>
  </si>
  <si>
    <t>O100</t>
  </si>
  <si>
    <t>Order유형코드</t>
  </si>
  <si>
    <t>OR01</t>
  </si>
  <si>
    <t>장바구니</t>
  </si>
  <si>
    <t>OR02</t>
  </si>
  <si>
    <t>입금대기</t>
  </si>
  <si>
    <t>OR03</t>
  </si>
  <si>
    <t>결제완료</t>
  </si>
  <si>
    <t>OR04</t>
  </si>
  <si>
    <t>배송준비</t>
  </si>
  <si>
    <t>OR05</t>
  </si>
  <si>
    <t>배송중</t>
  </si>
  <si>
    <t>OR06</t>
  </si>
  <si>
    <t>배송완료</t>
  </si>
  <si>
    <t>OR07</t>
  </si>
  <si>
    <t>구매완료</t>
  </si>
  <si>
    <t>OR08</t>
  </si>
  <si>
    <t>리뷰작성</t>
  </si>
  <si>
    <t>OR09</t>
  </si>
  <si>
    <t>취소</t>
  </si>
  <si>
    <t>OR10</t>
  </si>
  <si>
    <t>교환</t>
  </si>
  <si>
    <t>OR11</t>
  </si>
  <si>
    <t>환불</t>
  </si>
  <si>
    <t>P100</t>
  </si>
  <si>
    <t>결제유형코드</t>
  </si>
  <si>
    <t>CRDT</t>
  </si>
  <si>
    <t>신용카드</t>
  </si>
  <si>
    <t>DPAY</t>
  </si>
  <si>
    <t>간편결제</t>
  </si>
  <si>
    <t>B100</t>
  </si>
  <si>
    <t>은행코드</t>
  </si>
  <si>
    <t>CZNBKR</t>
  </si>
  <si>
    <t>국민은행</t>
  </si>
  <si>
    <t>KOEXKR</t>
  </si>
  <si>
    <t>하나은행</t>
  </si>
  <si>
    <t>SHBKKR</t>
  </si>
  <si>
    <t>신한은행</t>
  </si>
  <si>
    <t>NACFKR</t>
  </si>
  <si>
    <t>농협</t>
  </si>
  <si>
    <t>HVBKKR</t>
  </si>
  <si>
    <t>우리은행</t>
  </si>
  <si>
    <t>IBKOKR</t>
  </si>
  <si>
    <t>IBK기업은행</t>
  </si>
  <si>
    <t>KODBKR</t>
  </si>
  <si>
    <t>KDB산업은행</t>
  </si>
  <si>
    <t>KWABKR</t>
  </si>
  <si>
    <t>광주은행</t>
  </si>
  <si>
    <t>DAEBKR</t>
  </si>
  <si>
    <t>대구은행</t>
  </si>
  <si>
    <t>PUSBKR</t>
  </si>
  <si>
    <t>부산은행</t>
  </si>
  <si>
    <t>KYNAKR</t>
  </si>
  <si>
    <t>경남은행</t>
  </si>
  <si>
    <t>SCBLKR</t>
  </si>
  <si>
    <t>SC제일은행</t>
  </si>
  <si>
    <t>CITIKR</t>
  </si>
  <si>
    <t>한국시티은행</t>
  </si>
  <si>
    <t>C100</t>
  </si>
  <si>
    <t>카드회사코드</t>
  </si>
  <si>
    <t>국민카드</t>
  </si>
  <si>
    <t>BC카드</t>
  </si>
  <si>
    <t>신한(LG)카드</t>
  </si>
  <si>
    <t>삼성카드</t>
  </si>
  <si>
    <t>현대카드, 다이너스카드</t>
  </si>
  <si>
    <t>롯데카드, 아메리칸 익스프레스카드</t>
  </si>
  <si>
    <t>신한카드</t>
  </si>
  <si>
    <t>한미카드</t>
  </si>
  <si>
    <t>시티카드</t>
  </si>
  <si>
    <t>하나카드</t>
  </si>
  <si>
    <t>농협NH카드</t>
  </si>
  <si>
    <t>우리카드</t>
  </si>
  <si>
    <t>광주카드</t>
  </si>
  <si>
    <t>전북카드</t>
  </si>
  <si>
    <t>수협카드</t>
  </si>
  <si>
    <t>2A0</t>
  </si>
  <si>
    <t>American Express Card</t>
  </si>
  <si>
    <t>2Y0</t>
  </si>
  <si>
    <t>Master Card</t>
  </si>
  <si>
    <t>2J0</t>
  </si>
  <si>
    <t>JCB Card</t>
  </si>
  <si>
    <t>C200</t>
  </si>
  <si>
    <t>통화코드</t>
  </si>
  <si>
    <t>미국달러</t>
  </si>
  <si>
    <t>EU유로</t>
  </si>
  <si>
    <t>CNY</t>
  </si>
  <si>
    <t>중국위안</t>
  </si>
  <si>
    <t>GBP</t>
  </si>
  <si>
    <t>영국파운드</t>
  </si>
  <si>
    <t>일본엔</t>
  </si>
  <si>
    <t>한국원</t>
  </si>
  <si>
    <t>CATEGORIES</t>
    <phoneticPr fontId="15" type="noConversion"/>
  </si>
  <si>
    <t>LargeCategoryCode</t>
    <phoneticPr fontId="15" type="noConversion"/>
  </si>
  <si>
    <t>MidCategoryCode</t>
    <phoneticPr fontId="15" type="noConversion"/>
  </si>
  <si>
    <t>MidCategoryName</t>
    <phoneticPr fontId="15" type="noConversion"/>
  </si>
  <si>
    <t>SmallCategoryCode</t>
    <phoneticPr fontId="15" type="noConversion"/>
  </si>
  <si>
    <t>SmallCategoryName</t>
    <phoneticPr fontId="15" type="noConversion"/>
  </si>
  <si>
    <t>패션의류/잡화</t>
  </si>
  <si>
    <t>여성패션</t>
  </si>
  <si>
    <t>티셔츠</t>
  </si>
  <si>
    <t>블라우스/셔츠</t>
  </si>
  <si>
    <t>원피스/세트류</t>
  </si>
  <si>
    <t>바지/레깅스</t>
  </si>
  <si>
    <t>스커트/치마</t>
  </si>
  <si>
    <t>니트류/조끼</t>
  </si>
  <si>
    <t>맨투맨/후드집업</t>
  </si>
  <si>
    <t>아우터</t>
  </si>
  <si>
    <t>패션운동복</t>
  </si>
  <si>
    <t>비키니/비치웨어</t>
  </si>
  <si>
    <t>빅사이즈 의류</t>
  </si>
  <si>
    <t>속옷/잠옷</t>
  </si>
  <si>
    <t>임부복</t>
  </si>
  <si>
    <t>남성패션</t>
  </si>
  <si>
    <t>맨투맨/후드티</t>
  </si>
  <si>
    <t>셔츠</t>
  </si>
  <si>
    <t>바지/청바지</t>
  </si>
  <si>
    <t>트레이닝복</t>
  </si>
  <si>
    <t>후드집업/집업류</t>
  </si>
  <si>
    <t>스웨터</t>
  </si>
  <si>
    <t>가디건</t>
  </si>
  <si>
    <t>베스트/조끼</t>
  </si>
  <si>
    <t>패션 래쉬가드</t>
  </si>
  <si>
    <t>베이비패션(0~3세)</t>
  </si>
  <si>
    <t>베이비 여아</t>
  </si>
  <si>
    <t>베이비 남아</t>
  </si>
  <si>
    <t>베이비 남녀공용</t>
  </si>
  <si>
    <t>여아패션(3세 이상)</t>
  </si>
  <si>
    <t>여아 키즈 (3-8세)</t>
  </si>
  <si>
    <t>여아 주니어 (9-17세)</t>
  </si>
  <si>
    <t>남아패션(3세 이상)</t>
  </si>
  <si>
    <t>남아 키즈 (3-8세)</t>
  </si>
  <si>
    <t>남아 주니어 (9-17세)</t>
  </si>
  <si>
    <t>스포츠 패션</t>
  </si>
  <si>
    <t>여성스포츠의류</t>
  </si>
  <si>
    <t>남성스포츠의류</t>
  </si>
  <si>
    <t>유아스포츠의류</t>
  </si>
  <si>
    <t>스포츠신발</t>
  </si>
  <si>
    <t>스포츠잡화</t>
  </si>
  <si>
    <t>신발</t>
  </si>
  <si>
    <t>스니커즈/슬립온</t>
  </si>
  <si>
    <t>운동화/런닝화</t>
  </si>
  <si>
    <t>여성단화/플랫</t>
  </si>
  <si>
    <t>여성하이힐</t>
  </si>
  <si>
    <t>여성워커/부츠</t>
  </si>
  <si>
    <t>여성샌들/쪼리</t>
  </si>
  <si>
    <t>남성로퍼/웰트화</t>
  </si>
  <si>
    <t>남성정장구두</t>
  </si>
  <si>
    <t>남성워커/부츠</t>
  </si>
  <si>
    <t>남성샌들/쪼리</t>
  </si>
  <si>
    <t>슬리퍼/실내화</t>
  </si>
  <si>
    <t>기능화</t>
  </si>
  <si>
    <t>깔창/신발끈</t>
  </si>
  <si>
    <t>가방/잡화</t>
  </si>
  <si>
    <t>여성가방</t>
  </si>
  <si>
    <t>남성가방</t>
  </si>
  <si>
    <t>남녀캐주얼가방</t>
  </si>
  <si>
    <t>여행가방/소품</t>
  </si>
  <si>
    <t>지갑/벨트</t>
  </si>
  <si>
    <t>양말/스타킹</t>
  </si>
  <si>
    <t>머플러/스카프/숄</t>
  </si>
  <si>
    <t>모자</t>
  </si>
  <si>
    <t>장갑/시즌잡화</t>
  </si>
  <si>
    <t>넥타이/소품</t>
  </si>
  <si>
    <t>우산/양산/우비</t>
  </si>
  <si>
    <t>아이웨어</t>
  </si>
  <si>
    <t>시계</t>
  </si>
  <si>
    <t>명품패션</t>
  </si>
  <si>
    <t>여성의류</t>
  </si>
  <si>
    <t>남성의류</t>
  </si>
  <si>
    <t>속옷</t>
  </si>
  <si>
    <t>가방</t>
  </si>
  <si>
    <t>지갑</t>
  </si>
  <si>
    <t>시계/쥬얼리</t>
  </si>
  <si>
    <t>벨트</t>
  </si>
  <si>
    <t>스카프/머플러</t>
  </si>
  <si>
    <t>안경테/선글라스</t>
  </si>
  <si>
    <t>넥타이</t>
  </si>
  <si>
    <t>기타패션잡화</t>
  </si>
  <si>
    <t>뷰티</t>
  </si>
  <si>
    <t>명품화장품</t>
  </si>
  <si>
    <t>스킨케어</t>
  </si>
  <si>
    <t>메이크업</t>
  </si>
  <si>
    <t>향수</t>
  </si>
  <si>
    <t>헤어케어</t>
  </si>
  <si>
    <t>바디케어</t>
  </si>
  <si>
    <t>남성화장품</t>
  </si>
  <si>
    <t>뷰티소품</t>
  </si>
  <si>
    <t>기초화장품</t>
  </si>
  <si>
    <t>클렌징/필링</t>
  </si>
  <si>
    <t>마스크/팩</t>
  </si>
  <si>
    <t>선케어/태닝</t>
  </si>
  <si>
    <t>아이 메이크업</t>
  </si>
  <si>
    <t>립 메이크업</t>
  </si>
  <si>
    <t>베이스 메이크업</t>
  </si>
  <si>
    <t>치크 메이크업</t>
  </si>
  <si>
    <t>멀티메이크업</t>
  </si>
  <si>
    <t>바디메이크업</t>
  </si>
  <si>
    <t>여성향수</t>
  </si>
  <si>
    <t>남성향수</t>
  </si>
  <si>
    <t>드레스퍼퓸</t>
  </si>
  <si>
    <t>남성스킨케어</t>
  </si>
  <si>
    <t>남성메이크업</t>
  </si>
  <si>
    <t>남성화장품세트</t>
  </si>
  <si>
    <t>남성 헤어케어</t>
  </si>
  <si>
    <t>남성 바디케어</t>
  </si>
  <si>
    <t>남성 쉐이빙 케어</t>
  </si>
  <si>
    <t>네일</t>
  </si>
  <si>
    <t>큐티클/영양</t>
  </si>
  <si>
    <t>일반네일</t>
  </si>
  <si>
    <t>젤네일</t>
  </si>
  <si>
    <t>네일케어도구</t>
  </si>
  <si>
    <t>네일아트소품/도구</t>
  </si>
  <si>
    <t>네일세트</t>
  </si>
  <si>
    <t>화장솜/면봉</t>
  </si>
  <si>
    <t>아이소품</t>
  </si>
  <si>
    <t>페이스소품</t>
  </si>
  <si>
    <t>클렌징소품</t>
  </si>
  <si>
    <t>헤어소품</t>
  </si>
  <si>
    <t>피부관리기</t>
  </si>
  <si>
    <t>용기/거울/기타소품</t>
  </si>
  <si>
    <t>헤어</t>
  </si>
  <si>
    <t>샴푸</t>
  </si>
  <si>
    <t>린스/컨디셔너</t>
  </si>
  <si>
    <t>트리트먼트/팩</t>
  </si>
  <si>
    <t>헤어에센스/오일</t>
  </si>
  <si>
    <t>헤어스타일링</t>
  </si>
  <si>
    <t>헤어세트</t>
  </si>
  <si>
    <t>염색/파마</t>
  </si>
  <si>
    <t>바디</t>
  </si>
  <si>
    <t>샤워/입욕용품</t>
  </si>
  <si>
    <t>바디로션/크림</t>
  </si>
  <si>
    <t>핸드/풋/데오</t>
  </si>
  <si>
    <t>제모/슬리밍/청결제</t>
  </si>
  <si>
    <t>LargeCategoryName</t>
    <phoneticPr fontId="15" type="noConversion"/>
  </si>
</sst>
</file>

<file path=xl/styles.xml><?xml version="1.0" encoding="utf-8"?>
<styleSheet xmlns="http://schemas.openxmlformats.org/spreadsheetml/2006/main">
  <numFmts count="8">
    <numFmt numFmtId="41" formatCode="_-* #,##0_-;\-* #,##0_-;_-* &quot;-&quot;_-;_-@_-"/>
    <numFmt numFmtId="176" formatCode="0.000_)"/>
    <numFmt numFmtId="177" formatCode="0.00_)"/>
    <numFmt numFmtId="178" formatCode="&quot;₩&quot;#,##0;[Red]&quot;₩&quot;&quot;₩&quot;\-#,##0"/>
    <numFmt numFmtId="179" formatCode="0.000&quot;  &quot;"/>
    <numFmt numFmtId="180" formatCode="&quot;₩&quot;#,##0.00;&quot;₩&quot;&quot;₩&quot;&quot;₩&quot;\-#,##0.00"/>
    <numFmt numFmtId="181" formatCode="_ &quot;₩&quot;* #,##0_ ;_ &quot;₩&quot;* &quot;₩&quot;&quot;₩&quot;\-#,##0_ ;_ &quot;₩&quot;* &quot;-&quot;_ ;_ @_ "/>
    <numFmt numFmtId="182" formatCode="&quot;₩&quot;#,##0.00;[Red]&quot;₩&quot;&quot;₩&quot;&quot;₩&quot;&quot;₩&quot;&quot;₩&quot;&quot;₩&quot;\-#,##0.00"/>
  </numFmts>
  <fonts count="45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sz val="12"/>
      <name val="뼻뮝"/>
      <family val="1"/>
      <charset val="129"/>
    </font>
    <font>
      <sz val="10"/>
      <name val="명조"/>
      <family val="3"/>
      <charset val="129"/>
    </font>
    <font>
      <sz val="10"/>
      <name val="Arial"/>
      <family val="2"/>
    </font>
    <font>
      <b/>
      <sz val="10"/>
      <name val="Helv"/>
      <family val="2"/>
    </font>
    <font>
      <sz val="11"/>
      <name val="Tms Rmn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8"/>
      <name val="돋움"/>
      <family val="3"/>
      <charset val="129"/>
    </font>
    <font>
      <sz val="9"/>
      <name val="굴림"/>
      <family val="3"/>
      <charset val="129"/>
    </font>
    <font>
      <sz val="11"/>
      <name val="굴림"/>
      <family val="3"/>
      <charset val="129"/>
    </font>
    <font>
      <b/>
      <sz val="9"/>
      <color indexed="56"/>
      <name val="굴림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indexed="8"/>
      <name val="Arial"/>
      <family val="2"/>
    </font>
    <font>
      <sz val="11"/>
      <color theme="1"/>
      <name val="바탕"/>
      <family val="1"/>
      <charset val="129"/>
    </font>
    <font>
      <sz val="11"/>
      <color theme="0"/>
      <name val="바탕"/>
      <family val="1"/>
      <charset val="129"/>
    </font>
    <font>
      <sz val="11"/>
      <color rgb="FFFF0000"/>
      <name val="바탕"/>
      <family val="1"/>
      <charset val="129"/>
    </font>
    <font>
      <b/>
      <sz val="11"/>
      <color rgb="FFFA7D00"/>
      <name val="바탕"/>
      <family val="1"/>
      <charset val="129"/>
    </font>
    <font>
      <sz val="11"/>
      <color rgb="FF9C0006"/>
      <name val="바탕"/>
      <family val="1"/>
      <charset val="129"/>
    </font>
    <font>
      <sz val="11"/>
      <color rgb="FF9C6500"/>
      <name val="바탕"/>
      <family val="1"/>
      <charset val="129"/>
    </font>
    <font>
      <i/>
      <sz val="11"/>
      <color rgb="FF7F7F7F"/>
      <name val="바탕"/>
      <family val="1"/>
      <charset val="129"/>
    </font>
    <font>
      <b/>
      <sz val="11"/>
      <color theme="0"/>
      <name val="바탕"/>
      <family val="1"/>
      <charset val="129"/>
    </font>
    <font>
      <sz val="11"/>
      <color theme="1"/>
      <name val="맑은 고딕"/>
      <family val="3"/>
      <charset val="129"/>
      <scheme val="minor"/>
    </font>
    <font>
      <sz val="11"/>
      <color rgb="FFFA7D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1"/>
      <color rgb="FF3F3F76"/>
      <name val="바탕"/>
      <family val="1"/>
      <charset val="129"/>
    </font>
    <font>
      <b/>
      <sz val="15"/>
      <color theme="3"/>
      <name val="바탕"/>
      <family val="1"/>
      <charset val="129"/>
    </font>
    <font>
      <b/>
      <sz val="13"/>
      <color theme="3"/>
      <name val="바탕"/>
      <family val="1"/>
      <charset val="129"/>
    </font>
    <font>
      <b/>
      <sz val="11"/>
      <color theme="3"/>
      <name val="바탕"/>
      <family val="1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바탕"/>
      <family val="1"/>
      <charset val="129"/>
    </font>
    <font>
      <b/>
      <sz val="11"/>
      <color rgb="FF3F3F3F"/>
      <name val="바탕"/>
      <family val="1"/>
      <charset val="129"/>
    </font>
    <font>
      <u/>
      <sz val="11"/>
      <color theme="10"/>
      <name val="바탕"/>
      <family val="1"/>
      <charset val="129"/>
    </font>
    <font>
      <b/>
      <sz val="9"/>
      <color theme="3"/>
      <name val="굴림"/>
      <family val="3"/>
      <charset val="129"/>
    </font>
    <font>
      <b/>
      <sz val="11"/>
      <color theme="3"/>
      <name val="굴림"/>
      <family val="3"/>
      <charset val="129"/>
    </font>
    <font>
      <sz val="10"/>
      <color rgb="FF00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59996337778862885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2">
    <xf numFmtId="0" fontId="0" fillId="0" borderId="0">
      <alignment vertical="center"/>
    </xf>
    <xf numFmtId="0" fontId="2" fillId="0" borderId="0"/>
    <xf numFmtId="0" fontId="2" fillId="0" borderId="0"/>
    <xf numFmtId="0" fontId="3" fillId="0" borderId="0"/>
    <xf numFmtId="0" fontId="2" fillId="0" borderId="0"/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" fillId="0" borderId="0" applyFill="0" applyBorder="0" applyAlignment="0"/>
    <xf numFmtId="0" fontId="7" fillId="0" borderId="0"/>
    <xf numFmtId="176" fontId="8" fillId="0" borderId="0"/>
    <xf numFmtId="176" fontId="8" fillId="0" borderId="0"/>
    <xf numFmtId="176" fontId="8" fillId="0" borderId="0"/>
    <xf numFmtId="176" fontId="8" fillId="0" borderId="0"/>
    <xf numFmtId="176" fontId="8" fillId="0" borderId="0"/>
    <xf numFmtId="176" fontId="8" fillId="0" borderId="0"/>
    <xf numFmtId="176" fontId="8" fillId="0" borderId="0"/>
    <xf numFmtId="176" fontId="8" fillId="0" borderId="0"/>
    <xf numFmtId="179" fontId="3" fillId="0" borderId="0"/>
    <xf numFmtId="180" fontId="3" fillId="0" borderId="0"/>
    <xf numFmtId="181" fontId="3" fillId="0" borderId="0"/>
    <xf numFmtId="38" fontId="9" fillId="2" borderId="0" applyNumberFormat="0" applyBorder="0" applyAlignment="0" applyProtection="0"/>
    <xf numFmtId="0" fontId="10" fillId="0" borderId="0">
      <alignment horizontal="left"/>
    </xf>
    <xf numFmtId="0" fontId="11" fillId="0" borderId="1" applyNumberFormat="0" applyAlignment="0" applyProtection="0">
      <alignment horizontal="left" vertical="center"/>
    </xf>
    <xf numFmtId="0" fontId="11" fillId="0" borderId="2">
      <alignment horizontal="left" vertical="center"/>
    </xf>
    <xf numFmtId="10" fontId="9" fillId="3" borderId="3" applyNumberFormat="0" applyBorder="0" applyAlignment="0" applyProtection="0"/>
    <xf numFmtId="0" fontId="12" fillId="0" borderId="4"/>
    <xf numFmtId="37" fontId="13" fillId="0" borderId="0"/>
    <xf numFmtId="177" fontId="14" fillId="0" borderId="0"/>
    <xf numFmtId="10" fontId="6" fillId="0" borderId="0" applyFont="0" applyFill="0" applyBorder="0" applyAlignment="0" applyProtection="0"/>
    <xf numFmtId="0" fontId="12" fillId="0" borderId="0"/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31" borderId="8" applyNumberFormat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3" fillId="33" borderId="9" applyNumberFormat="0" applyFont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4" fillId="0" borderId="0"/>
    <xf numFmtId="0" fontId="29" fillId="0" borderId="0" applyNumberFormat="0" applyFill="0" applyBorder="0" applyAlignment="0" applyProtection="0">
      <alignment vertical="center"/>
    </xf>
    <xf numFmtId="0" fontId="30" fillId="35" borderId="10" applyNumberFormat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/>
    <xf numFmtId="0" fontId="5" fillId="0" borderId="5"/>
    <xf numFmtId="0" fontId="32" fillId="0" borderId="11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4" fillId="36" borderId="8" applyNumberFormat="0" applyAlignment="0" applyProtection="0">
      <alignment vertical="center"/>
    </xf>
    <xf numFmtId="0" fontId="35" fillId="0" borderId="13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7" fillId="0" borderId="15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40" fillId="31" borderId="16" applyNumberFormat="0" applyAlignment="0" applyProtection="0">
      <alignment vertical="center"/>
    </xf>
    <xf numFmtId="178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" fillId="0" borderId="0"/>
    <xf numFmtId="0" fontId="23" fillId="0" borderId="0">
      <alignment vertical="center"/>
    </xf>
    <xf numFmtId="0" fontId="23" fillId="0" borderId="0">
      <alignment vertical="center"/>
    </xf>
    <xf numFmtId="0" fontId="3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1" fillId="0" borderId="0">
      <alignment vertical="center"/>
    </xf>
    <xf numFmtId="0" fontId="1" fillId="0" borderId="0"/>
    <xf numFmtId="0" fontId="41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17" fillId="0" borderId="0" xfId="0" applyFont="1">
      <alignment vertical="center"/>
    </xf>
    <xf numFmtId="0" fontId="18" fillId="4" borderId="3" xfId="0" applyFont="1" applyFill="1" applyBorder="1" applyAlignment="1">
      <alignment horizontal="center" vertical="center"/>
    </xf>
    <xf numFmtId="0" fontId="16" fillId="5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42" fillId="38" borderId="3" xfId="0" applyFont="1" applyFill="1" applyBorder="1" applyAlignment="1">
      <alignment horizontal="center" vertical="center"/>
    </xf>
    <xf numFmtId="0" fontId="42" fillId="38" borderId="6" xfId="0" applyFont="1" applyFill="1" applyBorder="1" applyAlignment="1">
      <alignment vertical="center"/>
    </xf>
    <xf numFmtId="0" fontId="42" fillId="38" borderId="7" xfId="0" applyFont="1" applyFill="1" applyBorder="1" applyAlignment="1">
      <alignment vertical="center"/>
    </xf>
    <xf numFmtId="0" fontId="43" fillId="39" borderId="0" xfId="0" applyFont="1" applyFill="1">
      <alignment vertical="center"/>
    </xf>
    <xf numFmtId="0" fontId="42" fillId="39" borderId="3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22" fillId="6" borderId="0" xfId="0" applyFont="1" applyFill="1" applyAlignment="1"/>
    <xf numFmtId="0" fontId="6" fillId="0" borderId="17" xfId="0" applyFont="1" applyBorder="1" applyAlignment="1">
      <alignment wrapText="1"/>
    </xf>
    <xf numFmtId="0" fontId="6" fillId="0" borderId="18" xfId="0" applyFont="1" applyBorder="1" applyAlignment="1">
      <alignment wrapText="1"/>
    </xf>
    <xf numFmtId="0" fontId="6" fillId="0" borderId="18" xfId="0" applyFont="1" applyBorder="1" applyAlignment="1">
      <alignment horizontal="right" wrapText="1"/>
    </xf>
    <xf numFmtId="0" fontId="6" fillId="0" borderId="19" xfId="0" applyFont="1" applyBorder="1" applyAlignment="1">
      <alignment wrapText="1"/>
    </xf>
    <xf numFmtId="0" fontId="6" fillId="0" borderId="20" xfId="0" applyFont="1" applyBorder="1" applyAlignment="1">
      <alignment wrapText="1"/>
    </xf>
    <xf numFmtId="0" fontId="6" fillId="0" borderId="20" xfId="0" applyFont="1" applyBorder="1" applyAlignment="1">
      <alignment horizontal="right" wrapText="1"/>
    </xf>
    <xf numFmtId="0" fontId="42" fillId="38" borderId="21" xfId="0" applyFont="1" applyFill="1" applyBorder="1" applyAlignment="1">
      <alignment horizontal="center" vertical="center"/>
    </xf>
    <xf numFmtId="0" fontId="22" fillId="6" borderId="3" xfId="0" applyFont="1" applyFill="1" applyBorder="1" applyAlignment="1"/>
    <xf numFmtId="0" fontId="44" fillId="0" borderId="3" xfId="0" applyFont="1" applyBorder="1" applyAlignment="1">
      <alignment horizontal="right" wrapText="1"/>
    </xf>
    <xf numFmtId="0" fontId="44" fillId="0" borderId="3" xfId="0" applyFont="1" applyBorder="1" applyAlignment="1">
      <alignment wrapText="1"/>
    </xf>
    <xf numFmtId="0" fontId="6" fillId="0" borderId="3" xfId="0" applyFont="1" applyBorder="1" applyAlignment="1">
      <alignment wrapText="1"/>
    </xf>
    <xf numFmtId="0" fontId="44" fillId="0" borderId="3" xfId="0" applyFont="1" applyBorder="1" applyAlignment="1"/>
  </cellXfs>
  <cellStyles count="92">
    <cellStyle name="_다우SW(1023)" xfId="1"/>
    <cellStyle name="_수정0427 - 20050426_수산물품질검사원 FP" xfId="2"/>
    <cellStyle name="_예산-sample" xfId="3"/>
    <cellStyle name="_코마스HW(1023)" xfId="4"/>
    <cellStyle name="20% - 강조색1 2" xfId="5"/>
    <cellStyle name="20% - 강조색2 2" xfId="6"/>
    <cellStyle name="20% - 강조색3 2" xfId="7"/>
    <cellStyle name="20% - 강조색4 2" xfId="8"/>
    <cellStyle name="20% - 강조색5 2" xfId="9"/>
    <cellStyle name="20% - 강조색6 2" xfId="10"/>
    <cellStyle name="40% - 강조색1 2" xfId="11"/>
    <cellStyle name="40% - 강조색2 2" xfId="12"/>
    <cellStyle name="40% - 강조색3 2" xfId="13"/>
    <cellStyle name="40% - 강조색4 2" xfId="14"/>
    <cellStyle name="40% - 강조색5 2" xfId="15"/>
    <cellStyle name="40% - 강조색6 2" xfId="16"/>
    <cellStyle name="60% - 강조색1 2" xfId="17"/>
    <cellStyle name="60% - 강조색2 2" xfId="18"/>
    <cellStyle name="60% - 강조색3 2" xfId="19"/>
    <cellStyle name="60% - 강조색4 2" xfId="20"/>
    <cellStyle name="60% - 강조색5 2" xfId="21"/>
    <cellStyle name="60% - 강조색6 2" xfId="22"/>
    <cellStyle name="Calc Currency (0)" xfId="23"/>
    <cellStyle name="category" xfId="24"/>
    <cellStyle name="Comma  - Style1" xfId="25"/>
    <cellStyle name="Comma  - Style2" xfId="26"/>
    <cellStyle name="Comma  - Style3" xfId="27"/>
    <cellStyle name="Comma  - Style4" xfId="28"/>
    <cellStyle name="Comma  - Style5" xfId="29"/>
    <cellStyle name="Comma  - Style6" xfId="30"/>
    <cellStyle name="Comma  - Style7" xfId="31"/>
    <cellStyle name="Comma  - Style8" xfId="32"/>
    <cellStyle name="comma zerodec" xfId="33"/>
    <cellStyle name="Currency1" xfId="34"/>
    <cellStyle name="Dollar (zero dec)" xfId="35"/>
    <cellStyle name="Grey" xfId="36"/>
    <cellStyle name="HEADER" xfId="37"/>
    <cellStyle name="Header1" xfId="38"/>
    <cellStyle name="Header2" xfId="39"/>
    <cellStyle name="Input [yellow]" xfId="40"/>
    <cellStyle name="Model" xfId="41"/>
    <cellStyle name="no dec" xfId="42"/>
    <cellStyle name="Normal - Style1" xfId="43"/>
    <cellStyle name="Percent [2]" xfId="44"/>
    <cellStyle name="subhead" xfId="45"/>
    <cellStyle name="강조색1 2" xfId="46"/>
    <cellStyle name="강조색2 2" xfId="47"/>
    <cellStyle name="강조색3 2" xfId="48"/>
    <cellStyle name="강조색4 2" xfId="49"/>
    <cellStyle name="강조색5 2" xfId="50"/>
    <cellStyle name="강조색6 2" xfId="51"/>
    <cellStyle name="경고문 2" xfId="52"/>
    <cellStyle name="계산 2" xfId="53"/>
    <cellStyle name="나쁨 2" xfId="54"/>
    <cellStyle name="메모 2" xfId="55"/>
    <cellStyle name="보통 2" xfId="56"/>
    <cellStyle name="뷭?_BOOKSHIP" xfId="57"/>
    <cellStyle name="설명 텍스트 2" xfId="58"/>
    <cellStyle name="셀 확인 2" xfId="59"/>
    <cellStyle name="쉼표 [0] 2 2" xfId="60"/>
    <cellStyle name="쉼표 [0] 2 3" xfId="61"/>
    <cellStyle name="스타일 1" xfId="62"/>
    <cellStyle name="안건회계법인" xfId="63"/>
    <cellStyle name="연결된 셀 2" xfId="64"/>
    <cellStyle name="요약 2" xfId="65"/>
    <cellStyle name="입력 2" xfId="66"/>
    <cellStyle name="제목 1 2" xfId="67"/>
    <cellStyle name="제목 2 2" xfId="68"/>
    <cellStyle name="제목 3 2" xfId="69"/>
    <cellStyle name="제목 4 2" xfId="70"/>
    <cellStyle name="제목 5" xfId="71"/>
    <cellStyle name="좋음 2" xfId="72"/>
    <cellStyle name="출력 2" xfId="73"/>
    <cellStyle name="콤마 [0]_1202" xfId="74"/>
    <cellStyle name="콤마_1202" xfId="75"/>
    <cellStyle name="표준" xfId="0" builtinId="0"/>
    <cellStyle name="표준 11" xfId="76"/>
    <cellStyle name="표준 12" xfId="77"/>
    <cellStyle name="표준 2" xfId="78"/>
    <cellStyle name="표준 2 2" xfId="79"/>
    <cellStyle name="표준 2 3" xfId="80"/>
    <cellStyle name="표준 2 4" xfId="81"/>
    <cellStyle name="표준 3 2" xfId="82"/>
    <cellStyle name="표준 3 2 2" xfId="83"/>
    <cellStyle name="표준 4" xfId="84"/>
    <cellStyle name="표준 5" xfId="85"/>
    <cellStyle name="표준 6" xfId="86"/>
    <cellStyle name="표준 7" xfId="87"/>
    <cellStyle name="표준 8" xfId="88"/>
    <cellStyle name="표준 9" xfId="89"/>
    <cellStyle name="標準_Akia(F）-8" xfId="90"/>
    <cellStyle name="하이퍼링크 2" xfId="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7.104.10\eap_lg\2005_MyDocument\2005\0.%20&#51648;&#50896;&#49324;&#50629;\&#50696;&#49328;-sampl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47.6.118.129\kt%20wibro&#50689;&#50629;&#51204;&#49328;&#49884;&#49828;&#53596;%20&#44060;&#48156;%20&#54532;&#47196;&#51229;&#53944;%20&#44592;&#51456;&#49436;\50.&#44060;&#48156;&#49328;&#52636;&#47932;\00.&#44060;&#48156;&#49328;&#52636;&#47932;%20&#53596;&#54540;&#47551;\30.&#49444;&#44228;&#45800;&#44228;\30.&#52265;&#49688;\WiBro-BIL-A-201(V1.0-&#50836;&#44396;&#49324;&#54637;&#51221;&#51032;&#49436;-Mediation)_2005051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tup"/>
      <sheetName val="프로젝트개요"/>
      <sheetName val="개발단계"/>
      <sheetName val="개발규모"/>
      <sheetName val="간이법"/>
      <sheetName val="정규법"/>
      <sheetName val="보정계수"/>
      <sheetName val="직접경비"/>
      <sheetName val="개발비"/>
      <sheetName val="총괄표"/>
      <sheetName val="BPR"/>
      <sheetName val="ISP"/>
      <sheetName val="최종 개발비"/>
      <sheetName val="최종 FP도출"/>
      <sheetName val="경비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요금부문"/>
      <sheetName val="작성방법"/>
      <sheetName val="Sheet3"/>
    </sheetNames>
    <sheetDataSet>
      <sheetData sheetId="0"/>
      <sheetData sheetId="1"/>
      <sheetData sheetId="2">
        <row r="5">
          <cell r="A5">
            <v>5</v>
          </cell>
        </row>
        <row r="6">
          <cell r="A6">
            <v>6</v>
          </cell>
        </row>
        <row r="7">
          <cell r="A7">
            <v>7</v>
          </cell>
        </row>
        <row r="8">
          <cell r="A8">
            <v>8</v>
          </cell>
        </row>
        <row r="9">
          <cell r="A9">
            <v>9</v>
          </cell>
        </row>
        <row r="10">
          <cell r="A10">
            <v>10</v>
          </cell>
        </row>
        <row r="11">
          <cell r="A11">
            <v>11</v>
          </cell>
        </row>
        <row r="12">
          <cell r="A12">
            <v>12</v>
          </cell>
        </row>
        <row r="13">
          <cell r="A13">
            <v>13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57"/>
  <sheetViews>
    <sheetView workbookViewId="0">
      <selection sqref="A1:XFD1048576"/>
    </sheetView>
  </sheetViews>
  <sheetFormatPr defaultRowHeight="11.25"/>
  <cols>
    <col min="1" max="1" width="8.5546875" style="1" customWidth="1"/>
    <col min="2" max="3" width="16.88671875" style="2" customWidth="1"/>
    <col min="4" max="4" width="9.6640625" style="2" customWidth="1"/>
    <col min="5" max="16384" width="8.88671875" style="1"/>
  </cols>
  <sheetData>
    <row r="1" spans="1:6" s="6" customFormat="1" ht="13.5">
      <c r="B1" s="7"/>
      <c r="C1" s="7"/>
      <c r="D1" s="7"/>
    </row>
    <row r="2" spans="1:6" s="6" customFormat="1" ht="13.5">
      <c r="B2" s="7"/>
      <c r="C2" s="7"/>
      <c r="D2" s="7"/>
    </row>
    <row r="3" spans="1:6" s="6" customFormat="1" ht="13.5">
      <c r="B3" s="4" t="s">
        <v>0</v>
      </c>
      <c r="C3" s="13"/>
      <c r="D3" s="13"/>
      <c r="E3" s="13"/>
      <c r="F3" s="13"/>
    </row>
    <row r="4" spans="1:6" s="3" customFormat="1" ht="13.5">
      <c r="B4" s="11" t="s">
        <v>6</v>
      </c>
      <c r="C4" s="11"/>
      <c r="D4" s="11"/>
      <c r="E4" s="11"/>
      <c r="F4" s="11"/>
    </row>
    <row r="5" spans="1:6" ht="13.5" customHeight="1">
      <c r="A5" s="9"/>
      <c r="B5" s="8"/>
      <c r="C5" s="8"/>
      <c r="D5" s="8"/>
      <c r="E5" s="8"/>
      <c r="F5" s="8"/>
    </row>
    <row r="6" spans="1:6" ht="13.5" customHeight="1">
      <c r="A6" s="10"/>
      <c r="B6" s="14" t="s">
        <v>7</v>
      </c>
      <c r="C6" s="14" t="s">
        <v>8</v>
      </c>
      <c r="D6" s="14" t="s">
        <v>9</v>
      </c>
      <c r="E6" s="14" t="s">
        <v>10</v>
      </c>
      <c r="F6" s="14" t="s">
        <v>11</v>
      </c>
    </row>
    <row r="7" spans="1:6" ht="13.5" customHeight="1" thickBot="1">
      <c r="A7" s="8" t="s">
        <v>1</v>
      </c>
      <c r="B7" s="12">
        <v>1</v>
      </c>
      <c r="C7" s="12">
        <v>1</v>
      </c>
      <c r="D7" s="12">
        <v>1</v>
      </c>
      <c r="E7" s="12">
        <v>1</v>
      </c>
      <c r="F7" s="12">
        <v>0</v>
      </c>
    </row>
    <row r="8" spans="1:6" s="5" customFormat="1" ht="13.5" customHeight="1" thickBot="1">
      <c r="A8" s="5" t="str">
        <f>insertRow($B$4,$B$6:$F$6,$B$7:$F$7,B8:F8)</f>
        <v>INSERT INTO CODE ( ClassCode , ClassName , Code , CodeName , Orders ) VALUES ( 'O100' , 'Order유형코드' , 'OR01' , '장바구니' , 1);</v>
      </c>
      <c r="B8" s="15" t="s">
        <v>12</v>
      </c>
      <c r="C8" s="16" t="s">
        <v>13</v>
      </c>
      <c r="D8" s="16" t="s">
        <v>14</v>
      </c>
      <c r="E8" s="16" t="s">
        <v>15</v>
      </c>
      <c r="F8" s="17">
        <v>1</v>
      </c>
    </row>
    <row r="9" spans="1:6" ht="13.5" thickBot="1">
      <c r="A9" s="5" t="str">
        <f t="shared" ref="A9:A57" si="0">insertRow($B$4,$B$6:$F$6,$B$7:$F$7,B9:F9)</f>
        <v>INSERT INTO CODE ( ClassCode , ClassName , Code , CodeName , Orders ) VALUES ( 'O100' , 'Order유형코드' , 'OR02' , '입금대기' , 2);</v>
      </c>
      <c r="B9" s="18" t="s">
        <v>12</v>
      </c>
      <c r="C9" s="19" t="s">
        <v>13</v>
      </c>
      <c r="D9" s="19" t="s">
        <v>16</v>
      </c>
      <c r="E9" s="19" t="s">
        <v>17</v>
      </c>
      <c r="F9" s="20">
        <v>2</v>
      </c>
    </row>
    <row r="10" spans="1:6" ht="13.5" thickBot="1">
      <c r="A10" s="5" t="str">
        <f t="shared" si="0"/>
        <v>INSERT INTO CODE ( ClassCode , ClassName , Code , CodeName , Orders ) VALUES ( 'O100' , 'Order유형코드' , 'OR03' , '결제완료' , 3);</v>
      </c>
      <c r="B10" s="18" t="s">
        <v>12</v>
      </c>
      <c r="C10" s="19" t="s">
        <v>13</v>
      </c>
      <c r="D10" s="19" t="s">
        <v>18</v>
      </c>
      <c r="E10" s="19" t="s">
        <v>19</v>
      </c>
      <c r="F10" s="20">
        <v>3</v>
      </c>
    </row>
    <row r="11" spans="1:6" ht="13.5" thickBot="1">
      <c r="A11" s="5" t="str">
        <f t="shared" si="0"/>
        <v>INSERT INTO CODE ( ClassCode , ClassName , Code , CodeName , Orders ) VALUES ( 'O100' , 'Order유형코드' , 'OR04' , '배송준비' , 4);</v>
      </c>
      <c r="B11" s="18" t="s">
        <v>12</v>
      </c>
      <c r="C11" s="19" t="s">
        <v>13</v>
      </c>
      <c r="D11" s="19" t="s">
        <v>20</v>
      </c>
      <c r="E11" s="19" t="s">
        <v>21</v>
      </c>
      <c r="F11" s="20">
        <v>4</v>
      </c>
    </row>
    <row r="12" spans="1:6" ht="13.5" thickBot="1">
      <c r="A12" s="5" t="str">
        <f t="shared" si="0"/>
        <v>INSERT INTO CODE ( ClassCode , ClassName , Code , CodeName , Orders ) VALUES ( 'O100' , 'Order유형코드' , 'OR05' , '배송중' , 5);</v>
      </c>
      <c r="B12" s="18" t="s">
        <v>12</v>
      </c>
      <c r="C12" s="19" t="s">
        <v>13</v>
      </c>
      <c r="D12" s="19" t="s">
        <v>22</v>
      </c>
      <c r="E12" s="19" t="s">
        <v>23</v>
      </c>
      <c r="F12" s="20">
        <v>5</v>
      </c>
    </row>
    <row r="13" spans="1:6" ht="13.5" thickBot="1">
      <c r="A13" s="5" t="str">
        <f t="shared" si="0"/>
        <v>INSERT INTO CODE ( ClassCode , ClassName , Code , CodeName , Orders ) VALUES ( 'O100' , 'Order유형코드' , 'OR06' , '배송완료' , 6);</v>
      </c>
      <c r="B13" s="18" t="s">
        <v>12</v>
      </c>
      <c r="C13" s="19" t="s">
        <v>13</v>
      </c>
      <c r="D13" s="19" t="s">
        <v>24</v>
      </c>
      <c r="E13" s="19" t="s">
        <v>25</v>
      </c>
      <c r="F13" s="20">
        <v>6</v>
      </c>
    </row>
    <row r="14" spans="1:6" ht="13.5" thickBot="1">
      <c r="A14" s="5" t="str">
        <f t="shared" si="0"/>
        <v>INSERT INTO CODE ( ClassCode , ClassName , Code , CodeName , Orders ) VALUES ( 'O100' , 'Order유형코드' , 'OR07' , '구매완료' , 7);</v>
      </c>
      <c r="B14" s="18" t="s">
        <v>12</v>
      </c>
      <c r="C14" s="19" t="s">
        <v>13</v>
      </c>
      <c r="D14" s="19" t="s">
        <v>26</v>
      </c>
      <c r="E14" s="19" t="s">
        <v>27</v>
      </c>
      <c r="F14" s="20">
        <v>7</v>
      </c>
    </row>
    <row r="15" spans="1:6" ht="13.5" thickBot="1">
      <c r="A15" s="5" t="str">
        <f t="shared" si="0"/>
        <v>INSERT INTO CODE ( ClassCode , ClassName , Code , CodeName , Orders ) VALUES ( 'O100' , 'Order유형코드' , 'OR08' , '리뷰작성' , 8);</v>
      </c>
      <c r="B15" s="18" t="s">
        <v>12</v>
      </c>
      <c r="C15" s="19" t="s">
        <v>13</v>
      </c>
      <c r="D15" s="19" t="s">
        <v>28</v>
      </c>
      <c r="E15" s="19" t="s">
        <v>29</v>
      </c>
      <c r="F15" s="20">
        <v>8</v>
      </c>
    </row>
    <row r="16" spans="1:6" ht="13.5" thickBot="1">
      <c r="A16" s="5" t="str">
        <f t="shared" si="0"/>
        <v>INSERT INTO CODE ( ClassCode , ClassName , Code , CodeName , Orders ) VALUES ( 'O100' , 'Order유형코드' , 'OR09' , '취소' , 9);</v>
      </c>
      <c r="B16" s="18" t="s">
        <v>12</v>
      </c>
      <c r="C16" s="19" t="s">
        <v>13</v>
      </c>
      <c r="D16" s="19" t="s">
        <v>30</v>
      </c>
      <c r="E16" s="19" t="s">
        <v>31</v>
      </c>
      <c r="F16" s="20">
        <v>9</v>
      </c>
    </row>
    <row r="17" spans="1:6" ht="13.5" thickBot="1">
      <c r="A17" s="5" t="str">
        <f t="shared" si="0"/>
        <v>INSERT INTO CODE ( ClassCode , ClassName , Code , CodeName , Orders ) VALUES ( 'O100' , 'Order유형코드' , 'OR10' , '교환' , 10);</v>
      </c>
      <c r="B17" s="18" t="s">
        <v>12</v>
      </c>
      <c r="C17" s="19" t="s">
        <v>13</v>
      </c>
      <c r="D17" s="19" t="s">
        <v>32</v>
      </c>
      <c r="E17" s="19" t="s">
        <v>33</v>
      </c>
      <c r="F17" s="20">
        <v>10</v>
      </c>
    </row>
    <row r="18" spans="1:6" ht="13.5" thickBot="1">
      <c r="A18" s="5" t="str">
        <f t="shared" si="0"/>
        <v>INSERT INTO CODE ( ClassCode , ClassName , Code , CodeName , Orders ) VALUES ( 'O100' , 'Order유형코드' , 'OR11' , '환불' , 11);</v>
      </c>
      <c r="B18" s="18" t="s">
        <v>12</v>
      </c>
      <c r="C18" s="19" t="s">
        <v>13</v>
      </c>
      <c r="D18" s="19" t="s">
        <v>34</v>
      </c>
      <c r="E18" s="19" t="s">
        <v>35</v>
      </c>
      <c r="F18" s="20">
        <v>11</v>
      </c>
    </row>
    <row r="19" spans="1:6" ht="13.5" thickBot="1">
      <c r="A19" s="5" t="str">
        <f t="shared" si="0"/>
        <v>INSERT INTO CODE ( ClassCode , ClassName , Code , CodeName , Orders ) VALUES ( 'P100' , '결제유형코드' , 'CRDT' , '신용카드' , 1);</v>
      </c>
      <c r="B19" s="18" t="s">
        <v>36</v>
      </c>
      <c r="C19" s="19" t="s">
        <v>37</v>
      </c>
      <c r="D19" s="19" t="s">
        <v>38</v>
      </c>
      <c r="E19" s="19" t="s">
        <v>39</v>
      </c>
      <c r="F19" s="20">
        <v>1</v>
      </c>
    </row>
    <row r="20" spans="1:6" ht="13.5" thickBot="1">
      <c r="A20" s="5" t="str">
        <f t="shared" si="0"/>
        <v>INSERT INTO CODE ( ClassCode , ClassName , Code , CodeName , Orders ) VALUES ( 'P100' , '결제유형코드' , 'DPAY' , '간편결제' , 2);</v>
      </c>
      <c r="B20" s="18" t="s">
        <v>36</v>
      </c>
      <c r="C20" s="19" t="s">
        <v>37</v>
      </c>
      <c r="D20" s="19" t="s">
        <v>40</v>
      </c>
      <c r="E20" s="19" t="s">
        <v>41</v>
      </c>
      <c r="F20" s="20">
        <v>2</v>
      </c>
    </row>
    <row r="21" spans="1:6" ht="13.5" thickBot="1">
      <c r="A21" s="5" t="str">
        <f t="shared" si="0"/>
        <v>INSERT INTO CODE ( ClassCode , ClassName , Code , CodeName , Orders ) VALUES ( 'B100' , '은행코드' , 'CZNBKR' , '국민은행' , 1);</v>
      </c>
      <c r="B21" s="18" t="s">
        <v>42</v>
      </c>
      <c r="C21" s="19" t="s">
        <v>43</v>
      </c>
      <c r="D21" s="19" t="s">
        <v>44</v>
      </c>
      <c r="E21" s="19" t="s">
        <v>45</v>
      </c>
      <c r="F21" s="20">
        <v>1</v>
      </c>
    </row>
    <row r="22" spans="1:6" ht="13.5" thickBot="1">
      <c r="A22" s="5" t="str">
        <f t="shared" si="0"/>
        <v>INSERT INTO CODE ( ClassCode , ClassName , Code , CodeName , Orders ) VALUES ( 'B100' , '은행코드' , 'KOEXKR' , '하나은행' , 2);</v>
      </c>
      <c r="B22" s="18" t="s">
        <v>42</v>
      </c>
      <c r="C22" s="19" t="s">
        <v>43</v>
      </c>
      <c r="D22" s="19" t="s">
        <v>46</v>
      </c>
      <c r="E22" s="19" t="s">
        <v>47</v>
      </c>
      <c r="F22" s="20">
        <v>2</v>
      </c>
    </row>
    <row r="23" spans="1:6" ht="13.5" thickBot="1">
      <c r="A23" s="5" t="str">
        <f t="shared" si="0"/>
        <v>INSERT INTO CODE ( ClassCode , ClassName , Code , CodeName , Orders ) VALUES ( 'B100' , '은행코드' , 'SHBKKR' , '신한은행' , 3);</v>
      </c>
      <c r="B23" s="18" t="s">
        <v>42</v>
      </c>
      <c r="C23" s="19" t="s">
        <v>43</v>
      </c>
      <c r="D23" s="19" t="s">
        <v>48</v>
      </c>
      <c r="E23" s="19" t="s">
        <v>49</v>
      </c>
      <c r="F23" s="20">
        <v>3</v>
      </c>
    </row>
    <row r="24" spans="1:6" ht="13.5" thickBot="1">
      <c r="A24" s="5" t="str">
        <f t="shared" si="0"/>
        <v>INSERT INTO CODE ( ClassCode , ClassName , Code , CodeName , Orders ) VALUES ( 'B100' , '은행코드' , 'NACFKR' , '농협' , 4);</v>
      </c>
      <c r="B24" s="18" t="s">
        <v>42</v>
      </c>
      <c r="C24" s="19" t="s">
        <v>43</v>
      </c>
      <c r="D24" s="19" t="s">
        <v>50</v>
      </c>
      <c r="E24" s="19" t="s">
        <v>51</v>
      </c>
      <c r="F24" s="20">
        <v>4</v>
      </c>
    </row>
    <row r="25" spans="1:6" ht="13.5" thickBot="1">
      <c r="A25" s="5" t="str">
        <f t="shared" si="0"/>
        <v>INSERT INTO CODE ( ClassCode , ClassName , Code , CodeName , Orders ) VALUES ( 'B100' , '은행코드' , 'HVBKKR' , '우리은행' , 5);</v>
      </c>
      <c r="B25" s="18" t="s">
        <v>42</v>
      </c>
      <c r="C25" s="19" t="s">
        <v>43</v>
      </c>
      <c r="D25" s="19" t="s">
        <v>52</v>
      </c>
      <c r="E25" s="19" t="s">
        <v>53</v>
      </c>
      <c r="F25" s="20">
        <v>5</v>
      </c>
    </row>
    <row r="26" spans="1:6" ht="13.5" thickBot="1">
      <c r="A26" s="5" t="str">
        <f t="shared" si="0"/>
        <v>INSERT INTO CODE ( ClassCode , ClassName , Code , CodeName , Orders ) VALUES ( 'B100' , '은행코드' , 'IBKOKR' , 'IBK기업은행' , 6);</v>
      </c>
      <c r="B26" s="18" t="s">
        <v>42</v>
      </c>
      <c r="C26" s="19" t="s">
        <v>43</v>
      </c>
      <c r="D26" s="19" t="s">
        <v>54</v>
      </c>
      <c r="E26" s="19" t="s">
        <v>55</v>
      </c>
      <c r="F26" s="20">
        <v>6</v>
      </c>
    </row>
    <row r="27" spans="1:6" ht="26.25" thickBot="1">
      <c r="A27" s="5" t="str">
        <f t="shared" si="0"/>
        <v>INSERT INTO CODE ( ClassCode , ClassName , Code , CodeName , Orders ) VALUES ( 'B100' , '은행코드' , 'KODBKR' , 'KDB산업은행' , 7);</v>
      </c>
      <c r="B27" s="18" t="s">
        <v>42</v>
      </c>
      <c r="C27" s="19" t="s">
        <v>43</v>
      </c>
      <c r="D27" s="19" t="s">
        <v>56</v>
      </c>
      <c r="E27" s="19" t="s">
        <v>57</v>
      </c>
      <c r="F27" s="20">
        <v>7</v>
      </c>
    </row>
    <row r="28" spans="1:6" ht="13.5" thickBot="1">
      <c r="A28" s="5" t="str">
        <f t="shared" si="0"/>
        <v>INSERT INTO CODE ( ClassCode , ClassName , Code , CodeName , Orders ) VALUES ( 'B100' , '은행코드' , 'KWABKR' , '광주은행' , 8);</v>
      </c>
      <c r="B28" s="18" t="s">
        <v>42</v>
      </c>
      <c r="C28" s="19" t="s">
        <v>43</v>
      </c>
      <c r="D28" s="19" t="s">
        <v>58</v>
      </c>
      <c r="E28" s="19" t="s">
        <v>59</v>
      </c>
      <c r="F28" s="20">
        <v>8</v>
      </c>
    </row>
    <row r="29" spans="1:6" ht="13.5" thickBot="1">
      <c r="A29" s="5" t="str">
        <f t="shared" si="0"/>
        <v>INSERT INTO CODE ( ClassCode , ClassName , Code , CodeName , Orders ) VALUES ( 'B100' , '은행코드' , 'DAEBKR' , '대구은행' , 9);</v>
      </c>
      <c r="B29" s="18" t="s">
        <v>42</v>
      </c>
      <c r="C29" s="19" t="s">
        <v>43</v>
      </c>
      <c r="D29" s="19" t="s">
        <v>60</v>
      </c>
      <c r="E29" s="19" t="s">
        <v>61</v>
      </c>
      <c r="F29" s="20">
        <v>9</v>
      </c>
    </row>
    <row r="30" spans="1:6" ht="13.5" thickBot="1">
      <c r="A30" s="5" t="str">
        <f t="shared" si="0"/>
        <v>INSERT INTO CODE ( ClassCode , ClassName , Code , CodeName , Orders ) VALUES ( 'B100' , '은행코드' , 'PUSBKR' , '부산은행' , 10);</v>
      </c>
      <c r="B30" s="18" t="s">
        <v>42</v>
      </c>
      <c r="C30" s="19" t="s">
        <v>43</v>
      </c>
      <c r="D30" s="19" t="s">
        <v>62</v>
      </c>
      <c r="E30" s="19" t="s">
        <v>63</v>
      </c>
      <c r="F30" s="20">
        <v>10</v>
      </c>
    </row>
    <row r="31" spans="1:6" ht="13.5" thickBot="1">
      <c r="A31" s="5" t="str">
        <f t="shared" si="0"/>
        <v>INSERT INTO CODE ( ClassCode , ClassName , Code , CodeName , Orders ) VALUES ( 'B100' , '은행코드' , 'KYNAKR' , '경남은행' , 11);</v>
      </c>
      <c r="B31" s="18" t="s">
        <v>42</v>
      </c>
      <c r="C31" s="19" t="s">
        <v>43</v>
      </c>
      <c r="D31" s="19" t="s">
        <v>64</v>
      </c>
      <c r="E31" s="19" t="s">
        <v>65</v>
      </c>
      <c r="F31" s="20">
        <v>11</v>
      </c>
    </row>
    <row r="32" spans="1:6" ht="13.5" thickBot="1">
      <c r="A32" s="5" t="str">
        <f t="shared" si="0"/>
        <v>INSERT INTO CODE ( ClassCode , ClassName , Code , CodeName , Orders ) VALUES ( 'B100' , '은행코드' , 'SCBLKR' , 'SC제일은행' , 12);</v>
      </c>
      <c r="B32" s="18" t="s">
        <v>42</v>
      </c>
      <c r="C32" s="19" t="s">
        <v>43</v>
      </c>
      <c r="D32" s="19" t="s">
        <v>66</v>
      </c>
      <c r="E32" s="19" t="s">
        <v>67</v>
      </c>
      <c r="F32" s="20">
        <v>12</v>
      </c>
    </row>
    <row r="33" spans="1:6" ht="26.25" thickBot="1">
      <c r="A33" s="5" t="str">
        <f t="shared" si="0"/>
        <v>INSERT INTO CODE ( ClassCode , ClassName , Code , CodeName , Orders ) VALUES ( 'B100' , '은행코드' , 'CITIKR' , '한국시티은행' , 13);</v>
      </c>
      <c r="B33" s="18" t="s">
        <v>42</v>
      </c>
      <c r="C33" s="19" t="s">
        <v>43</v>
      </c>
      <c r="D33" s="19" t="s">
        <v>68</v>
      </c>
      <c r="E33" s="19" t="s">
        <v>69</v>
      </c>
      <c r="F33" s="20">
        <v>13</v>
      </c>
    </row>
    <row r="34" spans="1:6" ht="13.5" thickBot="1">
      <c r="A34" s="5" t="str">
        <f t="shared" si="0"/>
        <v>INSERT INTO CODE ( ClassCode , ClassName , Code , CodeName , Orders ) VALUES ( 'C100' , '카드회사코드' , '110' , '국민카드' , 1);</v>
      </c>
      <c r="B34" s="18" t="s">
        <v>70</v>
      </c>
      <c r="C34" s="19" t="s">
        <v>71</v>
      </c>
      <c r="D34" s="20">
        <v>110</v>
      </c>
      <c r="E34" s="19" t="s">
        <v>72</v>
      </c>
      <c r="F34" s="20">
        <v>1</v>
      </c>
    </row>
    <row r="35" spans="1:6" ht="13.5" thickBot="1">
      <c r="A35" s="5" t="str">
        <f t="shared" si="0"/>
        <v>INSERT INTO CODE ( ClassCode , ClassName , Code , CodeName , Orders ) VALUES ( 'C100' , '카드회사코드' , '310' , 'BC카드' , 2);</v>
      </c>
      <c r="B35" s="18" t="s">
        <v>70</v>
      </c>
      <c r="C35" s="19" t="s">
        <v>71</v>
      </c>
      <c r="D35" s="19">
        <v>310</v>
      </c>
      <c r="E35" s="19" t="s">
        <v>73</v>
      </c>
      <c r="F35" s="20">
        <v>2</v>
      </c>
    </row>
    <row r="36" spans="1:6" ht="26.25" thickBot="1">
      <c r="A36" s="5" t="str">
        <f t="shared" si="0"/>
        <v>INSERT INTO CODE ( ClassCode , ClassName , Code , CodeName , Orders ) VALUES ( 'C100' , '카드회사코드' , '410' , '신한(LG)카드' , 3);</v>
      </c>
      <c r="B36" s="18" t="s">
        <v>70</v>
      </c>
      <c r="C36" s="19" t="s">
        <v>71</v>
      </c>
      <c r="D36" s="19">
        <v>410</v>
      </c>
      <c r="E36" s="19" t="s">
        <v>74</v>
      </c>
      <c r="F36" s="20">
        <v>3</v>
      </c>
    </row>
    <row r="37" spans="1:6" ht="13.5" thickBot="1">
      <c r="A37" s="5" t="str">
        <f t="shared" si="0"/>
        <v>INSERT INTO CODE ( ClassCode , ClassName , Code , CodeName , Orders ) VALUES ( 'C100' , '카드회사코드' , '510' , '삼성카드' , 4);</v>
      </c>
      <c r="B37" s="18" t="s">
        <v>70</v>
      </c>
      <c r="C37" s="19" t="s">
        <v>71</v>
      </c>
      <c r="D37" s="19">
        <v>510</v>
      </c>
      <c r="E37" s="19" t="s">
        <v>75</v>
      </c>
      <c r="F37" s="20">
        <v>4</v>
      </c>
    </row>
    <row r="38" spans="1:6" ht="26.25" thickBot="1">
      <c r="A38" s="5" t="str">
        <f t="shared" si="0"/>
        <v>INSERT INTO CODE ( ClassCode , ClassName , Code , CodeName , Orders ) VALUES ( 'C100' , '카드회사코드' , '610' , '현대카드, 다이너스카드' , 5);</v>
      </c>
      <c r="B38" s="18" t="s">
        <v>70</v>
      </c>
      <c r="C38" s="19" t="s">
        <v>71</v>
      </c>
      <c r="D38" s="19">
        <v>610</v>
      </c>
      <c r="E38" s="19" t="s">
        <v>76</v>
      </c>
      <c r="F38" s="20">
        <v>5</v>
      </c>
    </row>
    <row r="39" spans="1:6" ht="39" thickBot="1">
      <c r="A39" s="5" t="str">
        <f t="shared" si="0"/>
        <v>INSERT INTO CODE ( ClassCode , ClassName , Code , CodeName , Orders ) VALUES ( 'C100' , '카드회사코드' , '710' , '롯데카드, 아메리칸 익스프레스카드' , 6);</v>
      </c>
      <c r="B39" s="18" t="s">
        <v>70</v>
      </c>
      <c r="C39" s="19" t="s">
        <v>71</v>
      </c>
      <c r="D39" s="19">
        <v>710</v>
      </c>
      <c r="E39" s="19" t="s">
        <v>77</v>
      </c>
      <c r="F39" s="20">
        <v>6</v>
      </c>
    </row>
    <row r="40" spans="1:6" ht="13.5" thickBot="1">
      <c r="A40" s="5" t="str">
        <f t="shared" si="0"/>
        <v>INSERT INTO CODE ( ClassCode , ClassName , Code , CodeName , Orders ) VALUES ( 'C100' , '카드회사코드' , '810' , '신한카드' , 7);</v>
      </c>
      <c r="B40" s="18" t="s">
        <v>70</v>
      </c>
      <c r="C40" s="19" t="s">
        <v>71</v>
      </c>
      <c r="D40" s="19">
        <v>810</v>
      </c>
      <c r="E40" s="19" t="s">
        <v>78</v>
      </c>
      <c r="F40" s="20">
        <v>7</v>
      </c>
    </row>
    <row r="41" spans="1:6" ht="13.5" thickBot="1">
      <c r="A41" s="5" t="str">
        <f t="shared" si="0"/>
        <v>INSERT INTO CODE ( ClassCode , ClassName , Code , CodeName , Orders ) VALUES ( 'C100' , '카드회사코드' , '915' , '한미카드' , 8);</v>
      </c>
      <c r="B41" s="18" t="s">
        <v>70</v>
      </c>
      <c r="C41" s="19" t="s">
        <v>71</v>
      </c>
      <c r="D41" s="19">
        <v>915</v>
      </c>
      <c r="E41" s="19" t="s">
        <v>79</v>
      </c>
      <c r="F41" s="20">
        <v>8</v>
      </c>
    </row>
    <row r="42" spans="1:6" ht="13.5" thickBot="1">
      <c r="A42" s="5" t="str">
        <f t="shared" si="0"/>
        <v>INSERT INTO CODE ( ClassCode , ClassName , Code , CodeName , Orders ) VALUES ( 'C100' , '카드회사코드' , '923' , '시티카드' , 9);</v>
      </c>
      <c r="B42" s="18" t="s">
        <v>70</v>
      </c>
      <c r="C42" s="19" t="s">
        <v>71</v>
      </c>
      <c r="D42" s="19">
        <v>923</v>
      </c>
      <c r="E42" s="19" t="s">
        <v>80</v>
      </c>
      <c r="F42" s="20">
        <v>9</v>
      </c>
    </row>
    <row r="43" spans="1:6" ht="13.5" thickBot="1">
      <c r="A43" s="5" t="str">
        <f t="shared" si="0"/>
        <v>INSERT INTO CODE ( ClassCode , ClassName , Code , CodeName , Orders ) VALUES ( 'C100' , '카드회사코드' , '916' , '하나카드' , 10);</v>
      </c>
      <c r="B43" s="18" t="s">
        <v>70</v>
      </c>
      <c r="C43" s="19" t="s">
        <v>71</v>
      </c>
      <c r="D43" s="19">
        <v>916</v>
      </c>
      <c r="E43" s="19" t="s">
        <v>81</v>
      </c>
      <c r="F43" s="20">
        <v>10</v>
      </c>
    </row>
    <row r="44" spans="1:6" ht="13.5" thickBot="1">
      <c r="A44" s="5" t="str">
        <f t="shared" si="0"/>
        <v>INSERT INTO CODE ( ClassCode , ClassName , Code , CodeName , Orders ) VALUES ( 'C100' , '카드회사코드' , '912' , '농협NH카드' , 11);</v>
      </c>
      <c r="B44" s="18" t="s">
        <v>70</v>
      </c>
      <c r="C44" s="19" t="s">
        <v>71</v>
      </c>
      <c r="D44" s="19">
        <v>912</v>
      </c>
      <c r="E44" s="19" t="s">
        <v>82</v>
      </c>
      <c r="F44" s="20">
        <v>11</v>
      </c>
    </row>
    <row r="45" spans="1:6" ht="13.5" thickBot="1">
      <c r="A45" s="5" t="str">
        <f t="shared" si="0"/>
        <v>INSERT INTO CODE ( ClassCode , ClassName , Code , CodeName , Orders ) VALUES ( 'C100' , '카드회사코드' , '913' , '우리카드' , 12);</v>
      </c>
      <c r="B45" s="18" t="s">
        <v>70</v>
      </c>
      <c r="C45" s="19" t="s">
        <v>71</v>
      </c>
      <c r="D45" s="19">
        <v>913</v>
      </c>
      <c r="E45" s="19" t="s">
        <v>83</v>
      </c>
      <c r="F45" s="20">
        <v>12</v>
      </c>
    </row>
    <row r="46" spans="1:6" ht="13.5" thickBot="1">
      <c r="A46" s="5" t="str">
        <f t="shared" si="0"/>
        <v>INSERT INTO CODE ( ClassCode , ClassName , Code , CodeName , Orders ) VALUES ( 'C100' , '카드회사코드' , '918' , '광주카드' , 13);</v>
      </c>
      <c r="B46" s="18" t="s">
        <v>70</v>
      </c>
      <c r="C46" s="19" t="s">
        <v>71</v>
      </c>
      <c r="D46" s="19">
        <v>918</v>
      </c>
      <c r="E46" s="19" t="s">
        <v>84</v>
      </c>
      <c r="F46" s="20">
        <v>13</v>
      </c>
    </row>
    <row r="47" spans="1:6" ht="13.5" thickBot="1">
      <c r="A47" s="5" t="str">
        <f t="shared" si="0"/>
        <v>INSERT INTO CODE ( ClassCode , ClassName , Code , CodeName , Orders ) VALUES ( 'C100' , '카드회사코드' , '920' , '전북카드' , 14);</v>
      </c>
      <c r="B47" s="18" t="s">
        <v>70</v>
      </c>
      <c r="C47" s="19" t="s">
        <v>71</v>
      </c>
      <c r="D47" s="19">
        <v>920</v>
      </c>
      <c r="E47" s="19" t="s">
        <v>85</v>
      </c>
      <c r="F47" s="20">
        <v>14</v>
      </c>
    </row>
    <row r="48" spans="1:6" ht="13.5" thickBot="1">
      <c r="A48" s="5" t="str">
        <f t="shared" si="0"/>
        <v>INSERT INTO CODE ( ClassCode , ClassName , Code , CodeName , Orders ) VALUES ( 'C100' , '카드회사코드' , '925' , '수협카드' , 15);</v>
      </c>
      <c r="B48" s="18" t="s">
        <v>70</v>
      </c>
      <c r="C48" s="19" t="s">
        <v>71</v>
      </c>
      <c r="D48" s="19">
        <v>925</v>
      </c>
      <c r="E48" s="19" t="s">
        <v>86</v>
      </c>
      <c r="F48" s="20">
        <v>15</v>
      </c>
    </row>
    <row r="49" spans="1:6" ht="39" thickBot="1">
      <c r="A49" s="5" t="str">
        <f t="shared" si="0"/>
        <v>INSERT INTO CODE ( ClassCode , ClassName , Code , CodeName , Orders ) VALUES ( 'C100' , '카드회사코드' , '2A0' , 'American Express Card' , 16);</v>
      </c>
      <c r="B49" s="18" t="s">
        <v>70</v>
      </c>
      <c r="C49" s="19" t="s">
        <v>71</v>
      </c>
      <c r="D49" s="19" t="s">
        <v>87</v>
      </c>
      <c r="E49" s="19" t="s">
        <v>88</v>
      </c>
      <c r="F49" s="20">
        <v>16</v>
      </c>
    </row>
    <row r="50" spans="1:6" ht="13.5" thickBot="1">
      <c r="A50" s="5" t="str">
        <f t="shared" si="0"/>
        <v>INSERT INTO CODE ( ClassCode , ClassName , Code , CodeName , Orders ) VALUES ( 'C100' , '카드회사코드' , '2Y0' , 'Master Card' , 17);</v>
      </c>
      <c r="B50" s="18" t="s">
        <v>70</v>
      </c>
      <c r="C50" s="19" t="s">
        <v>71</v>
      </c>
      <c r="D50" s="19" t="s">
        <v>89</v>
      </c>
      <c r="E50" s="19" t="s">
        <v>90</v>
      </c>
      <c r="F50" s="20">
        <v>17</v>
      </c>
    </row>
    <row r="51" spans="1:6" ht="13.5" thickBot="1">
      <c r="A51" s="5" t="str">
        <f t="shared" si="0"/>
        <v>INSERT INTO CODE ( ClassCode , ClassName , Code , CodeName , Orders ) VALUES ( 'C100' , '카드회사코드' , '2J0' , 'JCB Card' , 18);</v>
      </c>
      <c r="B51" s="18" t="s">
        <v>70</v>
      </c>
      <c r="C51" s="19" t="s">
        <v>71</v>
      </c>
      <c r="D51" s="19" t="s">
        <v>91</v>
      </c>
      <c r="E51" s="19" t="s">
        <v>92</v>
      </c>
      <c r="F51" s="20">
        <v>18</v>
      </c>
    </row>
    <row r="52" spans="1:6" ht="13.5" thickBot="1">
      <c r="A52" s="5" t="str">
        <f t="shared" si="0"/>
        <v>INSERT INTO CODE ( ClassCode , ClassName , Code , CodeName , Orders ) VALUES ( 'C200' , '통화코드' , 'USD' , '미국달러' , 1);</v>
      </c>
      <c r="B52" s="18" t="s">
        <v>93</v>
      </c>
      <c r="C52" s="19" t="s">
        <v>94</v>
      </c>
      <c r="D52" s="19" t="s">
        <v>3</v>
      </c>
      <c r="E52" s="19" t="s">
        <v>95</v>
      </c>
      <c r="F52" s="20">
        <v>1</v>
      </c>
    </row>
    <row r="53" spans="1:6" ht="13.5" thickBot="1">
      <c r="A53" s="5" t="str">
        <f t="shared" si="0"/>
        <v>INSERT INTO CODE ( ClassCode , ClassName , Code , CodeName , Orders ) VALUES ( 'C200' , '통화코드' , 'EUR' , 'EU유로' , 2);</v>
      </c>
      <c r="B53" s="18" t="s">
        <v>93</v>
      </c>
      <c r="C53" s="19" t="s">
        <v>94</v>
      </c>
      <c r="D53" s="19" t="s">
        <v>2</v>
      </c>
      <c r="E53" s="19" t="s">
        <v>96</v>
      </c>
      <c r="F53" s="20">
        <v>2</v>
      </c>
    </row>
    <row r="54" spans="1:6" ht="13.5" thickBot="1">
      <c r="A54" s="5" t="str">
        <f t="shared" si="0"/>
        <v>INSERT INTO CODE ( ClassCode , ClassName , Code , CodeName , Orders ) VALUES ( 'C200' , '통화코드' , 'CNY' , '중국위안' , 3);</v>
      </c>
      <c r="B54" s="18" t="s">
        <v>93</v>
      </c>
      <c r="C54" s="19" t="s">
        <v>94</v>
      </c>
      <c r="D54" s="19" t="s">
        <v>97</v>
      </c>
      <c r="E54" s="19" t="s">
        <v>98</v>
      </c>
      <c r="F54" s="20">
        <v>3</v>
      </c>
    </row>
    <row r="55" spans="1:6" ht="13.5" thickBot="1">
      <c r="A55" s="5" t="str">
        <f t="shared" si="0"/>
        <v>INSERT INTO CODE ( ClassCode , ClassName , Code , CodeName , Orders ) VALUES ( 'C200' , '통화코드' , 'GBP' , '영국파운드' , 4);</v>
      </c>
      <c r="B55" s="18" t="s">
        <v>93</v>
      </c>
      <c r="C55" s="19" t="s">
        <v>94</v>
      </c>
      <c r="D55" s="19" t="s">
        <v>99</v>
      </c>
      <c r="E55" s="19" t="s">
        <v>100</v>
      </c>
      <c r="F55" s="20">
        <v>4</v>
      </c>
    </row>
    <row r="56" spans="1:6" ht="13.5" thickBot="1">
      <c r="A56" s="5" t="str">
        <f t="shared" si="0"/>
        <v>INSERT INTO CODE ( ClassCode , ClassName , Code , CodeName , Orders ) VALUES ( 'C200' , '통화코드' , 'JPY' , '일본엔' , 5);</v>
      </c>
      <c r="B56" s="18" t="s">
        <v>93</v>
      </c>
      <c r="C56" s="19" t="s">
        <v>94</v>
      </c>
      <c r="D56" s="19" t="s">
        <v>4</v>
      </c>
      <c r="E56" s="19" t="s">
        <v>101</v>
      </c>
      <c r="F56" s="20">
        <v>5</v>
      </c>
    </row>
    <row r="57" spans="1:6" ht="13.5" thickBot="1">
      <c r="A57" s="5" t="str">
        <f t="shared" si="0"/>
        <v>INSERT INTO CODE ( ClassCode , ClassName , Code , CodeName , Orders ) VALUES ( 'C200' , '통화코드' , 'KRW' , '한국원' , 6);</v>
      </c>
      <c r="B57" s="18" t="s">
        <v>93</v>
      </c>
      <c r="C57" s="19" t="s">
        <v>94</v>
      </c>
      <c r="D57" s="19" t="s">
        <v>5</v>
      </c>
      <c r="E57" s="19" t="s">
        <v>102</v>
      </c>
      <c r="F57" s="20">
        <v>6</v>
      </c>
    </row>
  </sheetData>
  <phoneticPr fontId="15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34"/>
  <sheetViews>
    <sheetView tabSelected="1" topLeftCell="A112" workbookViewId="0">
      <selection activeCell="A8" sqref="A8:A134"/>
    </sheetView>
  </sheetViews>
  <sheetFormatPr defaultRowHeight="11.25"/>
  <cols>
    <col min="1" max="1" width="8.5546875" style="1" customWidth="1"/>
    <col min="2" max="3" width="16.88671875" style="2" customWidth="1"/>
    <col min="4" max="4" width="9.6640625" style="2" customWidth="1"/>
    <col min="5" max="6" width="8.88671875" style="1"/>
    <col min="7" max="7" width="15" style="1" bestFit="1" customWidth="1"/>
    <col min="8" max="16384" width="8.88671875" style="1"/>
  </cols>
  <sheetData>
    <row r="1" spans="1:7" s="6" customFormat="1" ht="13.5">
      <c r="B1" s="7"/>
      <c r="C1" s="7"/>
      <c r="D1" s="7"/>
    </row>
    <row r="2" spans="1:7" s="6" customFormat="1" ht="13.5">
      <c r="B2" s="7"/>
      <c r="C2" s="7"/>
      <c r="D2" s="7"/>
    </row>
    <row r="3" spans="1:7" s="6" customFormat="1" ht="13.5">
      <c r="B3" s="4" t="s">
        <v>0</v>
      </c>
      <c r="C3" s="13"/>
      <c r="D3" s="13"/>
      <c r="E3" s="13"/>
      <c r="F3" s="13"/>
      <c r="G3" s="13"/>
    </row>
    <row r="4" spans="1:7" s="3" customFormat="1" ht="13.5">
      <c r="B4" s="11" t="s">
        <v>103</v>
      </c>
      <c r="C4" s="11"/>
      <c r="D4" s="11"/>
      <c r="E4" s="11"/>
      <c r="F4" s="11"/>
      <c r="G4" s="11"/>
    </row>
    <row r="5" spans="1:7" ht="13.5" customHeight="1">
      <c r="A5" s="9"/>
      <c r="B5" s="8"/>
      <c r="C5" s="8"/>
      <c r="D5" s="8"/>
      <c r="E5" s="8"/>
      <c r="F5" s="8"/>
      <c r="G5" s="8"/>
    </row>
    <row r="6" spans="1:7" ht="13.5" customHeight="1">
      <c r="A6" s="10"/>
      <c r="B6" s="22" t="s">
        <v>104</v>
      </c>
      <c r="C6" s="22" t="s">
        <v>245</v>
      </c>
      <c r="D6" s="22" t="s">
        <v>105</v>
      </c>
      <c r="E6" s="22" t="s">
        <v>106</v>
      </c>
      <c r="F6" s="22" t="s">
        <v>107</v>
      </c>
      <c r="G6" s="22" t="s">
        <v>108</v>
      </c>
    </row>
    <row r="7" spans="1:7" ht="13.5" customHeight="1">
      <c r="A7" s="21" t="s">
        <v>1</v>
      </c>
      <c r="B7" s="12">
        <v>1</v>
      </c>
      <c r="C7" s="12">
        <v>1</v>
      </c>
      <c r="D7" s="12">
        <v>1</v>
      </c>
      <c r="E7" s="12">
        <v>1</v>
      </c>
      <c r="F7" s="12">
        <v>1</v>
      </c>
      <c r="G7" s="12">
        <v>1</v>
      </c>
    </row>
    <row r="8" spans="1:7" s="5" customFormat="1" ht="13.5" customHeight="1">
      <c r="A8" s="5" t="str">
        <f>insertRow($B$4,$B$6:$G$6,$B$7:$G$7,B8:G8)</f>
        <v>INSERT INTO CATEGORIES ( LargeCategoryCode , LargeCategoryName , MidCategoryCode , MidCategoryName , SmallCategoryCode , SmallCategoryName ) VALUES ( '100' , '패션의류/잡화' , '100100' , '여성패션' , '100100010' , '티셔츠');</v>
      </c>
      <c r="B8" s="23">
        <v>100</v>
      </c>
      <c r="C8" s="24" t="s">
        <v>109</v>
      </c>
      <c r="D8" s="23">
        <v>100100</v>
      </c>
      <c r="E8" s="24" t="s">
        <v>110</v>
      </c>
      <c r="F8" s="23">
        <v>100100010</v>
      </c>
      <c r="G8" s="24" t="s">
        <v>111</v>
      </c>
    </row>
    <row r="9" spans="1:7" ht="12.75">
      <c r="A9" s="5" t="str">
        <f t="shared" ref="A9:A72" si="0">insertRow($B$4,$B$6:$G$6,$B$7:$G$7,B9:G9)</f>
        <v>INSERT INTO CATEGORIES ( LargeCategoryCode , LargeCategoryName , MidCategoryCode , MidCategoryName , SmallCategoryCode , SmallCategoryName ) VALUES ( '100' , '패션의류/잡화' , '100100' , '여성패션' , '100100020' , '블라우스/셔츠');</v>
      </c>
      <c r="B9" s="25">
        <v>100</v>
      </c>
      <c r="C9" s="24" t="s">
        <v>109</v>
      </c>
      <c r="D9" s="23">
        <v>100100</v>
      </c>
      <c r="E9" s="24" t="s">
        <v>110</v>
      </c>
      <c r="F9" s="23">
        <v>100100020</v>
      </c>
      <c r="G9" s="24" t="s">
        <v>112</v>
      </c>
    </row>
    <row r="10" spans="1:7" ht="12.75">
      <c r="A10" s="5" t="str">
        <f t="shared" si="0"/>
        <v>INSERT INTO CATEGORIES ( LargeCategoryCode , LargeCategoryName , MidCategoryCode , MidCategoryName , SmallCategoryCode , SmallCategoryName ) VALUES ( '100' , '패션의류/잡화' , '100100' , '여성패션' , '100100030' , '원피스/세트류');</v>
      </c>
      <c r="B10" s="23">
        <v>100</v>
      </c>
      <c r="C10" s="24" t="s">
        <v>109</v>
      </c>
      <c r="D10" s="23">
        <v>100100</v>
      </c>
      <c r="E10" s="24" t="s">
        <v>110</v>
      </c>
      <c r="F10" s="23">
        <v>100100030</v>
      </c>
      <c r="G10" s="24" t="s">
        <v>113</v>
      </c>
    </row>
    <row r="11" spans="1:7" ht="12.75">
      <c r="A11" s="5" t="str">
        <f t="shared" si="0"/>
        <v>INSERT INTO CATEGORIES ( LargeCategoryCode , LargeCategoryName , MidCategoryCode , MidCategoryName , SmallCategoryCode , SmallCategoryName ) VALUES ( '100' , '패션의류/잡화' , '100100' , '여성패션' , '100100040' , '바지/레깅스');</v>
      </c>
      <c r="B11" s="25">
        <v>100</v>
      </c>
      <c r="C11" s="24" t="s">
        <v>109</v>
      </c>
      <c r="D11" s="23">
        <v>100100</v>
      </c>
      <c r="E11" s="24" t="s">
        <v>110</v>
      </c>
      <c r="F11" s="23">
        <v>100100040</v>
      </c>
      <c r="G11" s="24" t="s">
        <v>114</v>
      </c>
    </row>
    <row r="12" spans="1:7" ht="12.75">
      <c r="A12" s="5" t="str">
        <f t="shared" si="0"/>
        <v>INSERT INTO CATEGORIES ( LargeCategoryCode , LargeCategoryName , MidCategoryCode , MidCategoryName , SmallCategoryCode , SmallCategoryName ) VALUES ( '100' , '패션의류/잡화' , '100100' , '여성패션' , '100100050' , '스커트/치마');</v>
      </c>
      <c r="B12" s="23">
        <v>100</v>
      </c>
      <c r="C12" s="24" t="s">
        <v>109</v>
      </c>
      <c r="D12" s="23">
        <v>100100</v>
      </c>
      <c r="E12" s="24" t="s">
        <v>110</v>
      </c>
      <c r="F12" s="23">
        <v>100100050</v>
      </c>
      <c r="G12" s="24" t="s">
        <v>115</v>
      </c>
    </row>
    <row r="13" spans="1:7" ht="12.75">
      <c r="A13" s="5" t="str">
        <f t="shared" si="0"/>
        <v>INSERT INTO CATEGORIES ( LargeCategoryCode , LargeCategoryName , MidCategoryCode , MidCategoryName , SmallCategoryCode , SmallCategoryName ) VALUES ( '100' , '패션의류/잡화' , '100100' , '여성패션' , '100100060' , '니트류/조끼');</v>
      </c>
      <c r="B13" s="25">
        <v>100</v>
      </c>
      <c r="C13" s="24" t="s">
        <v>109</v>
      </c>
      <c r="D13" s="23">
        <v>100100</v>
      </c>
      <c r="E13" s="24" t="s">
        <v>110</v>
      </c>
      <c r="F13" s="23">
        <v>100100060</v>
      </c>
      <c r="G13" s="24" t="s">
        <v>116</v>
      </c>
    </row>
    <row r="14" spans="1:7" ht="12.75">
      <c r="A14" s="5" t="str">
        <f t="shared" si="0"/>
        <v>INSERT INTO CATEGORIES ( LargeCategoryCode , LargeCategoryName , MidCategoryCode , MidCategoryName , SmallCategoryCode , SmallCategoryName ) VALUES ( '100' , '패션의류/잡화' , '100100' , '여성패션' , '100100070' , '맨투맨/후드집업');</v>
      </c>
      <c r="B14" s="23">
        <v>100</v>
      </c>
      <c r="C14" s="24" t="s">
        <v>109</v>
      </c>
      <c r="D14" s="23">
        <v>100100</v>
      </c>
      <c r="E14" s="24" t="s">
        <v>110</v>
      </c>
      <c r="F14" s="23">
        <v>100100070</v>
      </c>
      <c r="G14" s="24" t="s">
        <v>117</v>
      </c>
    </row>
    <row r="15" spans="1:7" ht="12.75">
      <c r="A15" s="5" t="str">
        <f t="shared" si="0"/>
        <v>INSERT INTO CATEGORIES ( LargeCategoryCode , LargeCategoryName , MidCategoryCode , MidCategoryName , SmallCategoryCode , SmallCategoryName ) VALUES ( '100' , '패션의류/잡화' , '100100' , '여성패션' , '100100080' , '아우터');</v>
      </c>
      <c r="B15" s="25">
        <v>100</v>
      </c>
      <c r="C15" s="24" t="s">
        <v>109</v>
      </c>
      <c r="D15" s="23">
        <v>100100</v>
      </c>
      <c r="E15" s="24" t="s">
        <v>110</v>
      </c>
      <c r="F15" s="23">
        <v>100100080</v>
      </c>
      <c r="G15" s="24" t="s">
        <v>118</v>
      </c>
    </row>
    <row r="16" spans="1:7" ht="12.75">
      <c r="A16" s="5" t="str">
        <f t="shared" si="0"/>
        <v>INSERT INTO CATEGORIES ( LargeCategoryCode , LargeCategoryName , MidCategoryCode , MidCategoryName , SmallCategoryCode , SmallCategoryName ) VALUES ( '100' , '패션의류/잡화' , '100100' , '여성패션' , '100100090' , '패션운동복');</v>
      </c>
      <c r="B16" s="23">
        <v>100</v>
      </c>
      <c r="C16" s="24" t="s">
        <v>109</v>
      </c>
      <c r="D16" s="23">
        <v>100100</v>
      </c>
      <c r="E16" s="24" t="s">
        <v>110</v>
      </c>
      <c r="F16" s="23">
        <v>100100090</v>
      </c>
      <c r="G16" s="24" t="s">
        <v>119</v>
      </c>
    </row>
    <row r="17" spans="1:7" ht="12.75">
      <c r="A17" s="5" t="str">
        <f t="shared" si="0"/>
        <v>INSERT INTO CATEGORIES ( LargeCategoryCode , LargeCategoryName , MidCategoryCode , MidCategoryName , SmallCategoryCode , SmallCategoryName ) VALUES ( '100' , '패션의류/잡화' , '100100' , '여성패션' , '100100100' , '비키니/비치웨어');</v>
      </c>
      <c r="B17" s="25">
        <v>100</v>
      </c>
      <c r="C17" s="24" t="s">
        <v>109</v>
      </c>
      <c r="D17" s="23">
        <v>100100</v>
      </c>
      <c r="E17" s="24" t="s">
        <v>110</v>
      </c>
      <c r="F17" s="23">
        <v>100100100</v>
      </c>
      <c r="G17" s="24" t="s">
        <v>120</v>
      </c>
    </row>
    <row r="18" spans="1:7" ht="12.75">
      <c r="A18" s="5" t="str">
        <f t="shared" si="0"/>
        <v>INSERT INTO CATEGORIES ( LargeCategoryCode , LargeCategoryName , MidCategoryCode , MidCategoryName , SmallCategoryCode , SmallCategoryName ) VALUES ( '100' , '패션의류/잡화' , '100100' , '여성패션' , '100100110' , '빅사이즈 의류');</v>
      </c>
      <c r="B18" s="23">
        <v>100</v>
      </c>
      <c r="C18" s="24" t="s">
        <v>109</v>
      </c>
      <c r="D18" s="23">
        <v>100100</v>
      </c>
      <c r="E18" s="24" t="s">
        <v>110</v>
      </c>
      <c r="F18" s="23">
        <v>100100110</v>
      </c>
      <c r="G18" s="24" t="s">
        <v>121</v>
      </c>
    </row>
    <row r="19" spans="1:7" ht="12.75">
      <c r="A19" s="5" t="str">
        <f t="shared" si="0"/>
        <v>INSERT INTO CATEGORIES ( LargeCategoryCode , LargeCategoryName , MidCategoryCode , MidCategoryName , SmallCategoryCode , SmallCategoryName ) VALUES ( '100' , '패션의류/잡화' , '100100' , '여성패션' , '100100120' , '속옷/잠옷');</v>
      </c>
      <c r="B19" s="25">
        <v>100</v>
      </c>
      <c r="C19" s="24" t="s">
        <v>109</v>
      </c>
      <c r="D19" s="23">
        <v>100100</v>
      </c>
      <c r="E19" s="24" t="s">
        <v>110</v>
      </c>
      <c r="F19" s="23">
        <v>100100120</v>
      </c>
      <c r="G19" s="24" t="s">
        <v>122</v>
      </c>
    </row>
    <row r="20" spans="1:7" ht="12.75">
      <c r="A20" s="5" t="str">
        <f t="shared" si="0"/>
        <v>INSERT INTO CATEGORIES ( LargeCategoryCode , LargeCategoryName , MidCategoryCode , MidCategoryName , SmallCategoryCode , SmallCategoryName ) VALUES ( '100' , '패션의류/잡화' , '100100' , '여성패션' , '100100130' , '임부복');</v>
      </c>
      <c r="B20" s="23">
        <v>100</v>
      </c>
      <c r="C20" s="24" t="s">
        <v>109</v>
      </c>
      <c r="D20" s="23">
        <v>100100</v>
      </c>
      <c r="E20" s="24" t="s">
        <v>110</v>
      </c>
      <c r="F20" s="23">
        <v>100100130</v>
      </c>
      <c r="G20" s="24" t="s">
        <v>123</v>
      </c>
    </row>
    <row r="21" spans="1:7" ht="12.75">
      <c r="A21" s="5" t="str">
        <f t="shared" si="0"/>
        <v>INSERT INTO CATEGORIES ( LargeCategoryCode , LargeCategoryName , MidCategoryCode , MidCategoryName , SmallCategoryCode , SmallCategoryName ) VALUES ( '100' , '패션의류/잡화' , '100200' , '남성패션' , '100200010' , '티셔츠');</v>
      </c>
      <c r="B21" s="25">
        <v>100</v>
      </c>
      <c r="C21" s="24" t="s">
        <v>109</v>
      </c>
      <c r="D21" s="23">
        <v>100200</v>
      </c>
      <c r="E21" s="24" t="s">
        <v>124</v>
      </c>
      <c r="F21" s="23">
        <v>100200010</v>
      </c>
      <c r="G21" s="24" t="s">
        <v>111</v>
      </c>
    </row>
    <row r="22" spans="1:7" ht="12.75">
      <c r="A22" s="5" t="str">
        <f t="shared" si="0"/>
        <v>INSERT INTO CATEGORIES ( LargeCategoryCode , LargeCategoryName , MidCategoryCode , MidCategoryName , SmallCategoryCode , SmallCategoryName ) VALUES ( '100' , '패션의류/잡화' , '100200' , '남성패션' , '100200020' , '맨투맨/후드티');</v>
      </c>
      <c r="B22" s="23">
        <v>100</v>
      </c>
      <c r="C22" s="24" t="s">
        <v>109</v>
      </c>
      <c r="D22" s="23">
        <v>100200</v>
      </c>
      <c r="E22" s="24" t="s">
        <v>124</v>
      </c>
      <c r="F22" s="23">
        <v>100200020</v>
      </c>
      <c r="G22" s="24" t="s">
        <v>125</v>
      </c>
    </row>
    <row r="23" spans="1:7" ht="12.75">
      <c r="A23" s="5" t="str">
        <f t="shared" si="0"/>
        <v>INSERT INTO CATEGORIES ( LargeCategoryCode , LargeCategoryName , MidCategoryCode , MidCategoryName , SmallCategoryCode , SmallCategoryName ) VALUES ( '100' , '패션의류/잡화' , '100200' , '남성패션' , '100200030' , '셔츠');</v>
      </c>
      <c r="B23" s="25">
        <v>100</v>
      </c>
      <c r="C23" s="24" t="s">
        <v>109</v>
      </c>
      <c r="D23" s="23">
        <v>100200</v>
      </c>
      <c r="E23" s="24" t="s">
        <v>124</v>
      </c>
      <c r="F23" s="23">
        <v>100200030</v>
      </c>
      <c r="G23" s="24" t="s">
        <v>126</v>
      </c>
    </row>
    <row r="24" spans="1:7" ht="12.75">
      <c r="A24" s="5" t="str">
        <f t="shared" si="0"/>
        <v>INSERT INTO CATEGORIES ( LargeCategoryCode , LargeCategoryName , MidCategoryCode , MidCategoryName , SmallCategoryCode , SmallCategoryName ) VALUES ( '100' , '패션의류/잡화' , '100200' , '남성패션' , '100200040' , '바지/청바지');</v>
      </c>
      <c r="B24" s="23">
        <v>100</v>
      </c>
      <c r="C24" s="24" t="s">
        <v>109</v>
      </c>
      <c r="D24" s="23">
        <v>100200</v>
      </c>
      <c r="E24" s="24" t="s">
        <v>124</v>
      </c>
      <c r="F24" s="23">
        <v>100200040</v>
      </c>
      <c r="G24" s="24" t="s">
        <v>127</v>
      </c>
    </row>
    <row r="25" spans="1:7" ht="12.75">
      <c r="A25" s="5" t="str">
        <f t="shared" si="0"/>
        <v>INSERT INTO CATEGORIES ( LargeCategoryCode , LargeCategoryName , MidCategoryCode , MidCategoryName , SmallCategoryCode , SmallCategoryName ) VALUES ( '100' , '패션의류/잡화' , '100200' , '남성패션' , '100200050' , '트레이닝복');</v>
      </c>
      <c r="B25" s="25">
        <v>100</v>
      </c>
      <c r="C25" s="24" t="s">
        <v>109</v>
      </c>
      <c r="D25" s="23">
        <v>100200</v>
      </c>
      <c r="E25" s="24" t="s">
        <v>124</v>
      </c>
      <c r="F25" s="23">
        <v>100200050</v>
      </c>
      <c r="G25" s="24" t="s">
        <v>128</v>
      </c>
    </row>
    <row r="26" spans="1:7" ht="12.75">
      <c r="A26" s="5" t="str">
        <f t="shared" si="0"/>
        <v>INSERT INTO CATEGORIES ( LargeCategoryCode , LargeCategoryName , MidCategoryCode , MidCategoryName , SmallCategoryCode , SmallCategoryName ) VALUES ( '100' , '패션의류/잡화' , '100200' , '남성패션' , '100200060' , '후드집업/집업류');</v>
      </c>
      <c r="B26" s="23">
        <v>100</v>
      </c>
      <c r="C26" s="24" t="s">
        <v>109</v>
      </c>
      <c r="D26" s="23">
        <v>100200</v>
      </c>
      <c r="E26" s="24" t="s">
        <v>124</v>
      </c>
      <c r="F26" s="23">
        <v>100200060</v>
      </c>
      <c r="G26" s="24" t="s">
        <v>129</v>
      </c>
    </row>
    <row r="27" spans="1:7" ht="12.75">
      <c r="A27" s="5" t="str">
        <f t="shared" si="0"/>
        <v>INSERT INTO CATEGORIES ( LargeCategoryCode , LargeCategoryName , MidCategoryCode , MidCategoryName , SmallCategoryCode , SmallCategoryName ) VALUES ( '100' , '패션의류/잡화' , '100200' , '남성패션' , '100200070' , '스웨터');</v>
      </c>
      <c r="B27" s="25">
        <v>100</v>
      </c>
      <c r="C27" s="24" t="s">
        <v>109</v>
      </c>
      <c r="D27" s="23">
        <v>100200</v>
      </c>
      <c r="E27" s="24" t="s">
        <v>124</v>
      </c>
      <c r="F27" s="23">
        <v>100200070</v>
      </c>
      <c r="G27" s="24" t="s">
        <v>130</v>
      </c>
    </row>
    <row r="28" spans="1:7" ht="12.75">
      <c r="A28" s="5" t="str">
        <f t="shared" si="0"/>
        <v>INSERT INTO CATEGORIES ( LargeCategoryCode , LargeCategoryName , MidCategoryCode , MidCategoryName , SmallCategoryCode , SmallCategoryName ) VALUES ( '100' , '패션의류/잡화' , '100200' , '남성패션' , '100200080' , '가디건');</v>
      </c>
      <c r="B28" s="23">
        <v>100</v>
      </c>
      <c r="C28" s="24" t="s">
        <v>109</v>
      </c>
      <c r="D28" s="23">
        <v>100200</v>
      </c>
      <c r="E28" s="24" t="s">
        <v>124</v>
      </c>
      <c r="F28" s="23">
        <v>100200080</v>
      </c>
      <c r="G28" s="24" t="s">
        <v>131</v>
      </c>
    </row>
    <row r="29" spans="1:7" ht="12.75">
      <c r="A29" s="5" t="str">
        <f t="shared" si="0"/>
        <v>INSERT INTO CATEGORIES ( LargeCategoryCode , LargeCategoryName , MidCategoryCode , MidCategoryName , SmallCategoryCode , SmallCategoryName ) VALUES ( '100' , '패션의류/잡화' , '100200' , '남성패션' , '100200090' , '베스트/조끼');</v>
      </c>
      <c r="B29" s="25">
        <v>100</v>
      </c>
      <c r="C29" s="24" t="s">
        <v>109</v>
      </c>
      <c r="D29" s="23">
        <v>100200</v>
      </c>
      <c r="E29" s="24" t="s">
        <v>124</v>
      </c>
      <c r="F29" s="23">
        <v>100200090</v>
      </c>
      <c r="G29" s="24" t="s">
        <v>132</v>
      </c>
    </row>
    <row r="30" spans="1:7" ht="12.75">
      <c r="A30" s="5" t="str">
        <f t="shared" si="0"/>
        <v>INSERT INTO CATEGORIES ( LargeCategoryCode , LargeCategoryName , MidCategoryCode , MidCategoryName , SmallCategoryCode , SmallCategoryName ) VALUES ( '100' , '패션의류/잡화' , '100200' , '남성패션' , '100200100' , '아우터');</v>
      </c>
      <c r="B30" s="23">
        <v>100</v>
      </c>
      <c r="C30" s="24" t="s">
        <v>109</v>
      </c>
      <c r="D30" s="23">
        <v>100200</v>
      </c>
      <c r="E30" s="24" t="s">
        <v>124</v>
      </c>
      <c r="F30" s="23">
        <v>100200100</v>
      </c>
      <c r="G30" s="24" t="s">
        <v>118</v>
      </c>
    </row>
    <row r="31" spans="1:7" ht="12.75">
      <c r="A31" s="5" t="str">
        <f t="shared" si="0"/>
        <v>INSERT INTO CATEGORIES ( LargeCategoryCode , LargeCategoryName , MidCategoryCode , MidCategoryName , SmallCategoryCode , SmallCategoryName ) VALUES ( '100' , '패션의류/잡화' , '100200' , '남성패션' , '100200110' , '속옷/잠옷');</v>
      </c>
      <c r="B31" s="25">
        <v>100</v>
      </c>
      <c r="C31" s="24" t="s">
        <v>109</v>
      </c>
      <c r="D31" s="23">
        <v>100200</v>
      </c>
      <c r="E31" s="24" t="s">
        <v>124</v>
      </c>
      <c r="F31" s="23">
        <v>100200110</v>
      </c>
      <c r="G31" s="24" t="s">
        <v>122</v>
      </c>
    </row>
    <row r="32" spans="1:7" ht="12.75">
      <c r="A32" s="5" t="str">
        <f t="shared" si="0"/>
        <v>INSERT INTO CATEGORIES ( LargeCategoryCode , LargeCategoryName , MidCategoryCode , MidCategoryName , SmallCategoryCode , SmallCategoryName ) VALUES ( '100' , '패션의류/잡화' , '100200' , '남성패션' , '100200120' , '빅사이즈 의류');</v>
      </c>
      <c r="B32" s="23">
        <v>100</v>
      </c>
      <c r="C32" s="24" t="s">
        <v>109</v>
      </c>
      <c r="D32" s="23">
        <v>100200</v>
      </c>
      <c r="E32" s="24" t="s">
        <v>124</v>
      </c>
      <c r="F32" s="23">
        <v>100200120</v>
      </c>
      <c r="G32" s="24" t="s">
        <v>121</v>
      </c>
    </row>
    <row r="33" spans="1:7" ht="12.75">
      <c r="A33" s="5" t="str">
        <f t="shared" si="0"/>
        <v>INSERT INTO CATEGORIES ( LargeCategoryCode , LargeCategoryName , MidCategoryCode , MidCategoryName , SmallCategoryCode , SmallCategoryName ) VALUES ( '100' , '패션의류/잡화' , '100200' , '남성패션' , '100200130' , '패션 래쉬가드');</v>
      </c>
      <c r="B33" s="25">
        <v>100</v>
      </c>
      <c r="C33" s="24" t="s">
        <v>109</v>
      </c>
      <c r="D33" s="23">
        <v>100200</v>
      </c>
      <c r="E33" s="24" t="s">
        <v>124</v>
      </c>
      <c r="F33" s="23">
        <v>100200130</v>
      </c>
      <c r="G33" s="24" t="s">
        <v>133</v>
      </c>
    </row>
    <row r="34" spans="1:7" ht="25.5">
      <c r="A34" s="5" t="str">
        <f t="shared" si="0"/>
        <v>INSERT INTO CATEGORIES ( LargeCategoryCode , LargeCategoryName , MidCategoryCode , MidCategoryName , SmallCategoryCode , SmallCategoryName ) VALUES ( '100' , '패션의류/잡화' , '100300' , '베이비패션(0~3세)' , '100300010' , '베이비 여아');</v>
      </c>
      <c r="B34" s="23">
        <v>100</v>
      </c>
      <c r="C34" s="24" t="s">
        <v>109</v>
      </c>
      <c r="D34" s="23">
        <v>100300</v>
      </c>
      <c r="E34" s="24" t="s">
        <v>134</v>
      </c>
      <c r="F34" s="23">
        <v>100300010</v>
      </c>
      <c r="G34" s="24" t="s">
        <v>135</v>
      </c>
    </row>
    <row r="35" spans="1:7" ht="25.5">
      <c r="A35" s="5" t="str">
        <f t="shared" si="0"/>
        <v>INSERT INTO CATEGORIES ( LargeCategoryCode , LargeCategoryName , MidCategoryCode , MidCategoryName , SmallCategoryCode , SmallCategoryName ) VALUES ( '100' , '패션의류/잡화' , '100300' , '베이비패션(0~3세)' , '100300020' , '베이비 남아');</v>
      </c>
      <c r="B35" s="25">
        <v>100</v>
      </c>
      <c r="C35" s="24" t="s">
        <v>109</v>
      </c>
      <c r="D35" s="23">
        <v>100300</v>
      </c>
      <c r="E35" s="24" t="s">
        <v>134</v>
      </c>
      <c r="F35" s="23">
        <v>100300020</v>
      </c>
      <c r="G35" s="24" t="s">
        <v>136</v>
      </c>
    </row>
    <row r="36" spans="1:7" ht="25.5">
      <c r="A36" s="5" t="str">
        <f t="shared" si="0"/>
        <v>INSERT INTO CATEGORIES ( LargeCategoryCode , LargeCategoryName , MidCategoryCode , MidCategoryName , SmallCategoryCode , SmallCategoryName ) VALUES ( '100' , '패션의류/잡화' , '100300' , '베이비패션(0~3세)' , '100300030' , '베이비 남녀공용');</v>
      </c>
      <c r="B36" s="23">
        <v>100</v>
      </c>
      <c r="C36" s="24" t="s">
        <v>109</v>
      </c>
      <c r="D36" s="23">
        <v>100300</v>
      </c>
      <c r="E36" s="24" t="s">
        <v>134</v>
      </c>
      <c r="F36" s="23">
        <v>100300030</v>
      </c>
      <c r="G36" s="24" t="s">
        <v>137</v>
      </c>
    </row>
    <row r="37" spans="1:7" ht="25.5">
      <c r="A37" s="5" t="str">
        <f t="shared" si="0"/>
        <v>INSERT INTO CATEGORIES ( LargeCategoryCode , LargeCategoryName , MidCategoryCode , MidCategoryName , SmallCategoryCode , SmallCategoryName ) VALUES ( '100' , '패션의류/잡화' , '100400' , '여아패션(3세 이상)' , '100400010' , '여아 키즈 (3-8세)');</v>
      </c>
      <c r="B37" s="25">
        <v>100</v>
      </c>
      <c r="C37" s="24" t="s">
        <v>109</v>
      </c>
      <c r="D37" s="23">
        <v>100400</v>
      </c>
      <c r="E37" s="24" t="s">
        <v>138</v>
      </c>
      <c r="F37" s="23">
        <v>100400010</v>
      </c>
      <c r="G37" s="26" t="s">
        <v>139</v>
      </c>
    </row>
    <row r="38" spans="1:7" ht="25.5">
      <c r="A38" s="5" t="str">
        <f t="shared" si="0"/>
        <v>INSERT INTO CATEGORIES ( LargeCategoryCode , LargeCategoryName , MidCategoryCode , MidCategoryName , SmallCategoryCode , SmallCategoryName ) VALUES ( '100' , '패션의류/잡화' , '100400' , '여아패션(3세 이상)' , '100400020' , '여아 주니어 (9-17세)');</v>
      </c>
      <c r="B38" s="23">
        <v>100</v>
      </c>
      <c r="C38" s="24" t="s">
        <v>109</v>
      </c>
      <c r="D38" s="23">
        <v>100400</v>
      </c>
      <c r="E38" s="24" t="s">
        <v>138</v>
      </c>
      <c r="F38" s="23">
        <v>100400020</v>
      </c>
      <c r="G38" s="26" t="s">
        <v>140</v>
      </c>
    </row>
    <row r="39" spans="1:7" ht="25.5">
      <c r="A39" s="5" t="str">
        <f t="shared" si="0"/>
        <v>INSERT INTO CATEGORIES ( LargeCategoryCode , LargeCategoryName , MidCategoryCode , MidCategoryName , SmallCategoryCode , SmallCategoryName ) VALUES ( '100' , '패션의류/잡화' , '100500' , '남아패션(3세 이상)' , '100500010' , '남아 키즈 (3-8세)');</v>
      </c>
      <c r="B39" s="25">
        <v>100</v>
      </c>
      <c r="C39" s="24" t="s">
        <v>109</v>
      </c>
      <c r="D39" s="23">
        <v>100500</v>
      </c>
      <c r="E39" s="24" t="s">
        <v>141</v>
      </c>
      <c r="F39" s="23">
        <v>100500010</v>
      </c>
      <c r="G39" s="26" t="s">
        <v>142</v>
      </c>
    </row>
    <row r="40" spans="1:7" ht="25.5">
      <c r="A40" s="5" t="str">
        <f t="shared" si="0"/>
        <v>INSERT INTO CATEGORIES ( LargeCategoryCode , LargeCategoryName , MidCategoryCode , MidCategoryName , SmallCategoryCode , SmallCategoryName ) VALUES ( '100' , '패션의류/잡화' , '100500' , '남아패션(3세 이상)' , '100500020' , '남아 주니어 (9-17세)');</v>
      </c>
      <c r="B40" s="23">
        <v>100</v>
      </c>
      <c r="C40" s="24" t="s">
        <v>109</v>
      </c>
      <c r="D40" s="23">
        <v>100500</v>
      </c>
      <c r="E40" s="24" t="s">
        <v>141</v>
      </c>
      <c r="F40" s="23">
        <v>100500020</v>
      </c>
      <c r="G40" s="26" t="s">
        <v>143</v>
      </c>
    </row>
    <row r="41" spans="1:7" ht="12.75">
      <c r="A41" s="5" t="str">
        <f t="shared" si="0"/>
        <v>INSERT INTO CATEGORIES ( LargeCategoryCode , LargeCategoryName , MidCategoryCode , MidCategoryName , SmallCategoryCode , SmallCategoryName ) VALUES ( '100' , '패션의류/잡화' , '100600' , '스포츠 패션' , '100600010' , '여성스포츠의류');</v>
      </c>
      <c r="B41" s="25">
        <v>100</v>
      </c>
      <c r="C41" s="24" t="s">
        <v>109</v>
      </c>
      <c r="D41" s="23">
        <v>100600</v>
      </c>
      <c r="E41" s="24" t="s">
        <v>144</v>
      </c>
      <c r="F41" s="23">
        <v>100600010</v>
      </c>
      <c r="G41" s="24" t="s">
        <v>145</v>
      </c>
    </row>
    <row r="42" spans="1:7" ht="12.75">
      <c r="A42" s="5" t="str">
        <f t="shared" si="0"/>
        <v>INSERT INTO CATEGORIES ( LargeCategoryCode , LargeCategoryName , MidCategoryCode , MidCategoryName , SmallCategoryCode , SmallCategoryName ) VALUES ( '100' , '패션의류/잡화' , '100600' , '스포츠 패션' , '100600020' , '남성스포츠의류');</v>
      </c>
      <c r="B42" s="23">
        <v>100</v>
      </c>
      <c r="C42" s="24" t="s">
        <v>109</v>
      </c>
      <c r="D42" s="23">
        <v>100600</v>
      </c>
      <c r="E42" s="24" t="s">
        <v>144</v>
      </c>
      <c r="F42" s="23">
        <v>100600020</v>
      </c>
      <c r="G42" s="24" t="s">
        <v>146</v>
      </c>
    </row>
    <row r="43" spans="1:7" ht="12.75">
      <c r="A43" s="5" t="str">
        <f t="shared" si="0"/>
        <v>INSERT INTO CATEGORIES ( LargeCategoryCode , LargeCategoryName , MidCategoryCode , MidCategoryName , SmallCategoryCode , SmallCategoryName ) VALUES ( '100' , '패션의류/잡화' , '100600' , '스포츠 패션' , '100600030' , '유아스포츠의류');</v>
      </c>
      <c r="B43" s="25">
        <v>100</v>
      </c>
      <c r="C43" s="24" t="s">
        <v>109</v>
      </c>
      <c r="D43" s="23">
        <v>100600</v>
      </c>
      <c r="E43" s="24" t="s">
        <v>144</v>
      </c>
      <c r="F43" s="23">
        <v>100600030</v>
      </c>
      <c r="G43" s="24" t="s">
        <v>147</v>
      </c>
    </row>
    <row r="44" spans="1:7" ht="12.75">
      <c r="A44" s="5" t="str">
        <f t="shared" si="0"/>
        <v>INSERT INTO CATEGORIES ( LargeCategoryCode , LargeCategoryName , MidCategoryCode , MidCategoryName , SmallCategoryCode , SmallCategoryName ) VALUES ( '100' , '패션의류/잡화' , '100600' , '스포츠 패션' , '100600040' , '스포츠신발');</v>
      </c>
      <c r="B44" s="23">
        <v>100</v>
      </c>
      <c r="C44" s="24" t="s">
        <v>109</v>
      </c>
      <c r="D44" s="23">
        <v>100600</v>
      </c>
      <c r="E44" s="24" t="s">
        <v>144</v>
      </c>
      <c r="F44" s="23">
        <v>100600040</v>
      </c>
      <c r="G44" s="24" t="s">
        <v>148</v>
      </c>
    </row>
    <row r="45" spans="1:7" ht="12.75">
      <c r="A45" s="5" t="str">
        <f t="shared" si="0"/>
        <v>INSERT INTO CATEGORIES ( LargeCategoryCode , LargeCategoryName , MidCategoryCode , MidCategoryName , SmallCategoryCode , SmallCategoryName ) VALUES ( '100' , '패션의류/잡화' , '100600' , '스포츠 패션' , '100600050' , '스포츠잡화');</v>
      </c>
      <c r="B45" s="25">
        <v>100</v>
      </c>
      <c r="C45" s="24" t="s">
        <v>109</v>
      </c>
      <c r="D45" s="23">
        <v>100600</v>
      </c>
      <c r="E45" s="24" t="s">
        <v>144</v>
      </c>
      <c r="F45" s="23">
        <v>100600050</v>
      </c>
      <c r="G45" s="24" t="s">
        <v>149</v>
      </c>
    </row>
    <row r="46" spans="1:7" ht="12.75">
      <c r="A46" s="5" t="str">
        <f t="shared" si="0"/>
        <v>INSERT INTO CATEGORIES ( LargeCategoryCode , LargeCategoryName , MidCategoryCode , MidCategoryName , SmallCategoryCode , SmallCategoryName ) VALUES ( '100' , '패션의류/잡화' , '100700' , '신발' , '100700010' , '스니커즈/슬립온');</v>
      </c>
      <c r="B46" s="23">
        <v>100</v>
      </c>
      <c r="C46" s="24" t="s">
        <v>109</v>
      </c>
      <c r="D46" s="23">
        <v>100700</v>
      </c>
      <c r="E46" s="24" t="s">
        <v>150</v>
      </c>
      <c r="F46" s="23">
        <v>100700010</v>
      </c>
      <c r="G46" s="24" t="s">
        <v>151</v>
      </c>
    </row>
    <row r="47" spans="1:7" ht="12.75">
      <c r="A47" s="5" t="str">
        <f t="shared" si="0"/>
        <v>INSERT INTO CATEGORIES ( LargeCategoryCode , LargeCategoryName , MidCategoryCode , MidCategoryName , SmallCategoryCode , SmallCategoryName ) VALUES ( '100' , '패션의류/잡화' , '100700' , '신발' , '100700020' , '운동화/런닝화');</v>
      </c>
      <c r="B47" s="25">
        <v>100</v>
      </c>
      <c r="C47" s="24" t="s">
        <v>109</v>
      </c>
      <c r="D47" s="23">
        <v>100700</v>
      </c>
      <c r="E47" s="24" t="s">
        <v>150</v>
      </c>
      <c r="F47" s="23">
        <v>100700020</v>
      </c>
      <c r="G47" s="24" t="s">
        <v>152</v>
      </c>
    </row>
    <row r="48" spans="1:7" ht="12.75">
      <c r="A48" s="5" t="str">
        <f t="shared" si="0"/>
        <v>INSERT INTO CATEGORIES ( LargeCategoryCode , LargeCategoryName , MidCategoryCode , MidCategoryName , SmallCategoryCode , SmallCategoryName ) VALUES ( '100' , '패션의류/잡화' , '100700' , '신발' , '100700030' , '여성단화/플랫');</v>
      </c>
      <c r="B48" s="23">
        <v>100</v>
      </c>
      <c r="C48" s="24" t="s">
        <v>109</v>
      </c>
      <c r="D48" s="23">
        <v>100700</v>
      </c>
      <c r="E48" s="24" t="s">
        <v>150</v>
      </c>
      <c r="F48" s="23">
        <v>100700030</v>
      </c>
      <c r="G48" s="24" t="s">
        <v>153</v>
      </c>
    </row>
    <row r="49" spans="1:7" ht="12.75">
      <c r="A49" s="5" t="str">
        <f t="shared" si="0"/>
        <v>INSERT INTO CATEGORIES ( LargeCategoryCode , LargeCategoryName , MidCategoryCode , MidCategoryName , SmallCategoryCode , SmallCategoryName ) VALUES ( '100' , '패션의류/잡화' , '100700' , '신발' , '100700040' , '여성하이힐');</v>
      </c>
      <c r="B49" s="25">
        <v>100</v>
      </c>
      <c r="C49" s="24" t="s">
        <v>109</v>
      </c>
      <c r="D49" s="23">
        <v>100700</v>
      </c>
      <c r="E49" s="24" t="s">
        <v>150</v>
      </c>
      <c r="F49" s="23">
        <v>100700040</v>
      </c>
      <c r="G49" s="24" t="s">
        <v>154</v>
      </c>
    </row>
    <row r="50" spans="1:7" ht="12.75">
      <c r="A50" s="5" t="str">
        <f t="shared" si="0"/>
        <v>INSERT INTO CATEGORIES ( LargeCategoryCode , LargeCategoryName , MidCategoryCode , MidCategoryName , SmallCategoryCode , SmallCategoryName ) VALUES ( '100' , '패션의류/잡화' , '100700' , '신발' , '100700050' , '여성워커/부츠');</v>
      </c>
      <c r="B50" s="23">
        <v>100</v>
      </c>
      <c r="C50" s="24" t="s">
        <v>109</v>
      </c>
      <c r="D50" s="23">
        <v>100700</v>
      </c>
      <c r="E50" s="24" t="s">
        <v>150</v>
      </c>
      <c r="F50" s="23">
        <v>100700050</v>
      </c>
      <c r="G50" s="24" t="s">
        <v>155</v>
      </c>
    </row>
    <row r="51" spans="1:7" ht="12.75">
      <c r="A51" s="5" t="str">
        <f t="shared" si="0"/>
        <v>INSERT INTO CATEGORIES ( LargeCategoryCode , LargeCategoryName , MidCategoryCode , MidCategoryName , SmallCategoryCode , SmallCategoryName ) VALUES ( '100' , '패션의류/잡화' , '100700' , '신발' , '100700060' , '여성샌들/쪼리');</v>
      </c>
      <c r="B51" s="25">
        <v>100</v>
      </c>
      <c r="C51" s="24" t="s">
        <v>109</v>
      </c>
      <c r="D51" s="23">
        <v>100700</v>
      </c>
      <c r="E51" s="24" t="s">
        <v>150</v>
      </c>
      <c r="F51" s="23">
        <v>100700060</v>
      </c>
      <c r="G51" s="24" t="s">
        <v>156</v>
      </c>
    </row>
    <row r="52" spans="1:7" ht="12.75">
      <c r="A52" s="5" t="str">
        <f t="shared" si="0"/>
        <v>INSERT INTO CATEGORIES ( LargeCategoryCode , LargeCategoryName , MidCategoryCode , MidCategoryName , SmallCategoryCode , SmallCategoryName ) VALUES ( '100' , '패션의류/잡화' , '100700' , '신발' , '100700070' , '남성로퍼/웰트화');</v>
      </c>
      <c r="B52" s="23">
        <v>100</v>
      </c>
      <c r="C52" s="24" t="s">
        <v>109</v>
      </c>
      <c r="D52" s="23">
        <v>100700</v>
      </c>
      <c r="E52" s="24" t="s">
        <v>150</v>
      </c>
      <c r="F52" s="23">
        <v>100700070</v>
      </c>
      <c r="G52" s="24" t="s">
        <v>157</v>
      </c>
    </row>
    <row r="53" spans="1:7" ht="12.75">
      <c r="A53" s="5" t="str">
        <f t="shared" si="0"/>
        <v>INSERT INTO CATEGORIES ( LargeCategoryCode , LargeCategoryName , MidCategoryCode , MidCategoryName , SmallCategoryCode , SmallCategoryName ) VALUES ( '100' , '패션의류/잡화' , '100700' , '신발' , '100700080' , '남성정장구두');</v>
      </c>
      <c r="B53" s="25">
        <v>100</v>
      </c>
      <c r="C53" s="24" t="s">
        <v>109</v>
      </c>
      <c r="D53" s="23">
        <v>100700</v>
      </c>
      <c r="E53" s="24" t="s">
        <v>150</v>
      </c>
      <c r="F53" s="23">
        <v>100700080</v>
      </c>
      <c r="G53" s="24" t="s">
        <v>158</v>
      </c>
    </row>
    <row r="54" spans="1:7" ht="12.75">
      <c r="A54" s="5" t="str">
        <f t="shared" si="0"/>
        <v>INSERT INTO CATEGORIES ( LargeCategoryCode , LargeCategoryName , MidCategoryCode , MidCategoryName , SmallCategoryCode , SmallCategoryName ) VALUES ( '100' , '패션의류/잡화' , '100700' , '신발' , '100700090' , '남성워커/부츠');</v>
      </c>
      <c r="B54" s="23">
        <v>100</v>
      </c>
      <c r="C54" s="24" t="s">
        <v>109</v>
      </c>
      <c r="D54" s="23">
        <v>100700</v>
      </c>
      <c r="E54" s="24" t="s">
        <v>150</v>
      </c>
      <c r="F54" s="23">
        <v>100700090</v>
      </c>
      <c r="G54" s="24" t="s">
        <v>159</v>
      </c>
    </row>
    <row r="55" spans="1:7" ht="12.75">
      <c r="A55" s="5" t="str">
        <f t="shared" si="0"/>
        <v>INSERT INTO CATEGORIES ( LargeCategoryCode , LargeCategoryName , MidCategoryCode , MidCategoryName , SmallCategoryCode , SmallCategoryName ) VALUES ( '100' , '패션의류/잡화' , '100700' , '신발' , '100700100' , '남성샌들/쪼리');</v>
      </c>
      <c r="B55" s="25">
        <v>100</v>
      </c>
      <c r="C55" s="24" t="s">
        <v>109</v>
      </c>
      <c r="D55" s="23">
        <v>100700</v>
      </c>
      <c r="E55" s="24" t="s">
        <v>150</v>
      </c>
      <c r="F55" s="23">
        <v>100700100</v>
      </c>
      <c r="G55" s="24" t="s">
        <v>160</v>
      </c>
    </row>
    <row r="56" spans="1:7" ht="12.75">
      <c r="A56" s="5" t="str">
        <f t="shared" si="0"/>
        <v>INSERT INTO CATEGORIES ( LargeCategoryCode , LargeCategoryName , MidCategoryCode , MidCategoryName , SmallCategoryCode , SmallCategoryName ) VALUES ( '100' , '패션의류/잡화' , '100700' , '신발' , '100700110' , '슬리퍼/실내화');</v>
      </c>
      <c r="B56" s="23">
        <v>100</v>
      </c>
      <c r="C56" s="24" t="s">
        <v>109</v>
      </c>
      <c r="D56" s="23">
        <v>100700</v>
      </c>
      <c r="E56" s="24" t="s">
        <v>150</v>
      </c>
      <c r="F56" s="23">
        <v>100700110</v>
      </c>
      <c r="G56" s="24" t="s">
        <v>161</v>
      </c>
    </row>
    <row r="57" spans="1:7" ht="12.75">
      <c r="A57" s="5" t="str">
        <f t="shared" si="0"/>
        <v>INSERT INTO CATEGORIES ( LargeCategoryCode , LargeCategoryName , MidCategoryCode , MidCategoryName , SmallCategoryCode , SmallCategoryName ) VALUES ( '100' , '패션의류/잡화' , '100700' , '신발' , '100700120' , '기능화');</v>
      </c>
      <c r="B57" s="25">
        <v>100</v>
      </c>
      <c r="C57" s="24" t="s">
        <v>109</v>
      </c>
      <c r="D57" s="23">
        <v>100700</v>
      </c>
      <c r="E57" s="24" t="s">
        <v>150</v>
      </c>
      <c r="F57" s="23">
        <v>100700120</v>
      </c>
      <c r="G57" s="24" t="s">
        <v>162</v>
      </c>
    </row>
    <row r="58" spans="1:7" ht="12.75">
      <c r="A58" s="5" t="str">
        <f t="shared" si="0"/>
        <v>INSERT INTO CATEGORIES ( LargeCategoryCode , LargeCategoryName , MidCategoryCode , MidCategoryName , SmallCategoryCode , SmallCategoryName ) VALUES ( '100' , '패션의류/잡화' , '100700' , '신발' , '100700130' , '깔창/신발끈');</v>
      </c>
      <c r="B58" s="23">
        <v>100</v>
      </c>
      <c r="C58" s="24" t="s">
        <v>109</v>
      </c>
      <c r="D58" s="23">
        <v>100700</v>
      </c>
      <c r="E58" s="24" t="s">
        <v>150</v>
      </c>
      <c r="F58" s="23">
        <v>100700130</v>
      </c>
      <c r="G58" s="24" t="s">
        <v>163</v>
      </c>
    </row>
    <row r="59" spans="1:7" ht="12.75">
      <c r="A59" s="5" t="str">
        <f t="shared" si="0"/>
        <v>INSERT INTO CATEGORIES ( LargeCategoryCode , LargeCategoryName , MidCategoryCode , MidCategoryName , SmallCategoryCode , SmallCategoryName ) VALUES ( '100' , '패션의류/잡화' , '100800' , '가방/잡화' , '100800010' , '여성가방');</v>
      </c>
      <c r="B59" s="25">
        <v>100</v>
      </c>
      <c r="C59" s="24" t="s">
        <v>109</v>
      </c>
      <c r="D59" s="23">
        <v>100800</v>
      </c>
      <c r="E59" s="24" t="s">
        <v>164</v>
      </c>
      <c r="F59" s="23">
        <v>100800010</v>
      </c>
      <c r="G59" s="24" t="s">
        <v>165</v>
      </c>
    </row>
    <row r="60" spans="1:7" ht="12.75">
      <c r="A60" s="5" t="str">
        <f t="shared" si="0"/>
        <v>INSERT INTO CATEGORIES ( LargeCategoryCode , LargeCategoryName , MidCategoryCode , MidCategoryName , SmallCategoryCode , SmallCategoryName ) VALUES ( '100' , '패션의류/잡화' , '100800' , '가방/잡화' , '100800020' , '남성가방');</v>
      </c>
      <c r="B60" s="23">
        <v>100</v>
      </c>
      <c r="C60" s="24" t="s">
        <v>109</v>
      </c>
      <c r="D60" s="23">
        <v>100800</v>
      </c>
      <c r="E60" s="24" t="s">
        <v>164</v>
      </c>
      <c r="F60" s="23">
        <v>100800020</v>
      </c>
      <c r="G60" s="24" t="s">
        <v>166</v>
      </c>
    </row>
    <row r="61" spans="1:7" ht="12.75">
      <c r="A61" s="5" t="str">
        <f t="shared" si="0"/>
        <v>INSERT INTO CATEGORIES ( LargeCategoryCode , LargeCategoryName , MidCategoryCode , MidCategoryName , SmallCategoryCode , SmallCategoryName ) VALUES ( '100' , '패션의류/잡화' , '100800' , '가방/잡화' , '100800030' , '남녀캐주얼가방');</v>
      </c>
      <c r="B61" s="25">
        <v>100</v>
      </c>
      <c r="C61" s="24" t="s">
        <v>109</v>
      </c>
      <c r="D61" s="23">
        <v>100800</v>
      </c>
      <c r="E61" s="24" t="s">
        <v>164</v>
      </c>
      <c r="F61" s="23">
        <v>100800030</v>
      </c>
      <c r="G61" s="24" t="s">
        <v>167</v>
      </c>
    </row>
    <row r="62" spans="1:7" ht="12.75">
      <c r="A62" s="5" t="str">
        <f t="shared" si="0"/>
        <v>INSERT INTO CATEGORIES ( LargeCategoryCode , LargeCategoryName , MidCategoryCode , MidCategoryName , SmallCategoryCode , SmallCategoryName ) VALUES ( '100' , '패션의류/잡화' , '100800' , '가방/잡화' , '100800040' , '여행가방/소품');</v>
      </c>
      <c r="B62" s="23">
        <v>100</v>
      </c>
      <c r="C62" s="24" t="s">
        <v>109</v>
      </c>
      <c r="D62" s="23">
        <v>100800</v>
      </c>
      <c r="E62" s="24" t="s">
        <v>164</v>
      </c>
      <c r="F62" s="23">
        <v>100800040</v>
      </c>
      <c r="G62" s="24" t="s">
        <v>168</v>
      </c>
    </row>
    <row r="63" spans="1:7" ht="12.75">
      <c r="A63" s="5" t="str">
        <f t="shared" si="0"/>
        <v>INSERT INTO CATEGORIES ( LargeCategoryCode , LargeCategoryName , MidCategoryCode , MidCategoryName , SmallCategoryCode , SmallCategoryName ) VALUES ( '100' , '패션의류/잡화' , '100800' , '가방/잡화' , '100800050' , '지갑/벨트');</v>
      </c>
      <c r="B63" s="25">
        <v>100</v>
      </c>
      <c r="C63" s="24" t="s">
        <v>109</v>
      </c>
      <c r="D63" s="23">
        <v>100800</v>
      </c>
      <c r="E63" s="24" t="s">
        <v>164</v>
      </c>
      <c r="F63" s="23">
        <v>100800050</v>
      </c>
      <c r="G63" s="24" t="s">
        <v>169</v>
      </c>
    </row>
    <row r="64" spans="1:7" ht="12.75">
      <c r="A64" s="5" t="str">
        <f t="shared" si="0"/>
        <v>INSERT INTO CATEGORIES ( LargeCategoryCode , LargeCategoryName , MidCategoryCode , MidCategoryName , SmallCategoryCode , SmallCategoryName ) VALUES ( '100' , '패션의류/잡화' , '100800' , '가방/잡화' , '100800060' , '양말/스타킹');</v>
      </c>
      <c r="B64" s="23">
        <v>100</v>
      </c>
      <c r="C64" s="24" t="s">
        <v>109</v>
      </c>
      <c r="D64" s="23">
        <v>100800</v>
      </c>
      <c r="E64" s="24" t="s">
        <v>164</v>
      </c>
      <c r="F64" s="23">
        <v>100800060</v>
      </c>
      <c r="G64" s="24" t="s">
        <v>170</v>
      </c>
    </row>
    <row r="65" spans="1:7" ht="12.75">
      <c r="A65" s="5" t="str">
        <f t="shared" si="0"/>
        <v>INSERT INTO CATEGORIES ( LargeCategoryCode , LargeCategoryName , MidCategoryCode , MidCategoryName , SmallCategoryCode , SmallCategoryName ) VALUES ( '100' , '패션의류/잡화' , '100800' , '가방/잡화' , '100800070' , '머플러/스카프/숄');</v>
      </c>
      <c r="B65" s="25">
        <v>100</v>
      </c>
      <c r="C65" s="24" t="s">
        <v>109</v>
      </c>
      <c r="D65" s="23">
        <v>100800</v>
      </c>
      <c r="E65" s="24" t="s">
        <v>164</v>
      </c>
      <c r="F65" s="23">
        <v>100800070</v>
      </c>
      <c r="G65" s="24" t="s">
        <v>171</v>
      </c>
    </row>
    <row r="66" spans="1:7" ht="12.75">
      <c r="A66" s="5" t="str">
        <f t="shared" si="0"/>
        <v>INSERT INTO CATEGORIES ( LargeCategoryCode , LargeCategoryName , MidCategoryCode , MidCategoryName , SmallCategoryCode , SmallCategoryName ) VALUES ( '100' , '패션의류/잡화' , '100800' , '가방/잡화' , '100800080' , '모자');</v>
      </c>
      <c r="B66" s="23">
        <v>100</v>
      </c>
      <c r="C66" s="24" t="s">
        <v>109</v>
      </c>
      <c r="D66" s="23">
        <v>100800</v>
      </c>
      <c r="E66" s="24" t="s">
        <v>164</v>
      </c>
      <c r="F66" s="23">
        <v>100800080</v>
      </c>
      <c r="G66" s="24" t="s">
        <v>172</v>
      </c>
    </row>
    <row r="67" spans="1:7" ht="12.75">
      <c r="A67" s="5" t="str">
        <f t="shared" si="0"/>
        <v>INSERT INTO CATEGORIES ( LargeCategoryCode , LargeCategoryName , MidCategoryCode , MidCategoryName , SmallCategoryCode , SmallCategoryName ) VALUES ( '100' , '패션의류/잡화' , '100800' , '가방/잡화' , '100800090' , '장갑/시즌잡화');</v>
      </c>
      <c r="B67" s="25">
        <v>100</v>
      </c>
      <c r="C67" s="24" t="s">
        <v>109</v>
      </c>
      <c r="D67" s="23">
        <v>100800</v>
      </c>
      <c r="E67" s="24" t="s">
        <v>164</v>
      </c>
      <c r="F67" s="23">
        <v>100800090</v>
      </c>
      <c r="G67" s="24" t="s">
        <v>173</v>
      </c>
    </row>
    <row r="68" spans="1:7" ht="12.75">
      <c r="A68" s="5" t="str">
        <f t="shared" si="0"/>
        <v>INSERT INTO CATEGORIES ( LargeCategoryCode , LargeCategoryName , MidCategoryCode , MidCategoryName , SmallCategoryCode , SmallCategoryName ) VALUES ( '100' , '패션의류/잡화' , '100800' , '가방/잡화' , '100800100' , '넥타이/소품');</v>
      </c>
      <c r="B68" s="23">
        <v>100</v>
      </c>
      <c r="C68" s="24" t="s">
        <v>109</v>
      </c>
      <c r="D68" s="23">
        <v>100800</v>
      </c>
      <c r="E68" s="24" t="s">
        <v>164</v>
      </c>
      <c r="F68" s="23">
        <v>100800100</v>
      </c>
      <c r="G68" s="24" t="s">
        <v>174</v>
      </c>
    </row>
    <row r="69" spans="1:7" ht="12.75">
      <c r="A69" s="5" t="str">
        <f t="shared" si="0"/>
        <v>INSERT INTO CATEGORIES ( LargeCategoryCode , LargeCategoryName , MidCategoryCode , MidCategoryName , SmallCategoryCode , SmallCategoryName ) VALUES ( '100' , '패션의류/잡화' , '100800' , '가방/잡화' , '100800110' , '우산/양산/우비');</v>
      </c>
      <c r="B69" s="25">
        <v>100</v>
      </c>
      <c r="C69" s="24" t="s">
        <v>109</v>
      </c>
      <c r="D69" s="23">
        <v>100800</v>
      </c>
      <c r="E69" s="24" t="s">
        <v>164</v>
      </c>
      <c r="F69" s="23">
        <v>100800110</v>
      </c>
      <c r="G69" s="24" t="s">
        <v>175</v>
      </c>
    </row>
    <row r="70" spans="1:7" ht="12.75">
      <c r="A70" s="5" t="str">
        <f t="shared" si="0"/>
        <v>INSERT INTO CATEGORIES ( LargeCategoryCode , LargeCategoryName , MidCategoryCode , MidCategoryName , SmallCategoryCode , SmallCategoryName ) VALUES ( '100' , '패션의류/잡화' , '100800' , '가방/잡화' , '100800120' , '아이웨어');</v>
      </c>
      <c r="B70" s="23">
        <v>100</v>
      </c>
      <c r="C70" s="24" t="s">
        <v>109</v>
      </c>
      <c r="D70" s="23">
        <v>100800</v>
      </c>
      <c r="E70" s="24" t="s">
        <v>164</v>
      </c>
      <c r="F70" s="23">
        <v>100800120</v>
      </c>
      <c r="G70" s="24" t="s">
        <v>176</v>
      </c>
    </row>
    <row r="71" spans="1:7" ht="12.75">
      <c r="A71" s="5" t="str">
        <f t="shared" si="0"/>
        <v>INSERT INTO CATEGORIES ( LargeCategoryCode , LargeCategoryName , MidCategoryCode , MidCategoryName , SmallCategoryCode , SmallCategoryName ) VALUES ( '100' , '패션의류/잡화' , '100800' , '가방/잡화' , '100800130' , '시계');</v>
      </c>
      <c r="B71" s="25">
        <v>100</v>
      </c>
      <c r="C71" s="24" t="s">
        <v>109</v>
      </c>
      <c r="D71" s="23">
        <v>100800</v>
      </c>
      <c r="E71" s="24" t="s">
        <v>164</v>
      </c>
      <c r="F71" s="23">
        <v>100800130</v>
      </c>
      <c r="G71" s="24" t="s">
        <v>177</v>
      </c>
    </row>
    <row r="72" spans="1:7" ht="12.75">
      <c r="A72" s="5" t="str">
        <f t="shared" si="0"/>
        <v>INSERT INTO CATEGORIES ( LargeCategoryCode , LargeCategoryName , MidCategoryCode , MidCategoryName , SmallCategoryCode , SmallCategoryName ) VALUES ( '100' , '패션의류/잡화' , '100900' , '명품패션' , '100900010' , '여성의류');</v>
      </c>
      <c r="B72" s="23">
        <v>100</v>
      </c>
      <c r="C72" s="24" t="s">
        <v>109</v>
      </c>
      <c r="D72" s="23">
        <v>100900</v>
      </c>
      <c r="E72" s="24" t="s">
        <v>178</v>
      </c>
      <c r="F72" s="23">
        <v>100900010</v>
      </c>
      <c r="G72" s="24" t="s">
        <v>179</v>
      </c>
    </row>
    <row r="73" spans="1:7" ht="12.75">
      <c r="A73" s="5" t="str">
        <f t="shared" ref="A73:A134" si="1">insertRow($B$4,$B$6:$G$6,$B$7:$G$7,B73:G73)</f>
        <v>INSERT INTO CATEGORIES ( LargeCategoryCode , LargeCategoryName , MidCategoryCode , MidCategoryName , SmallCategoryCode , SmallCategoryName ) VALUES ( '100' , '패션의류/잡화' , '100900' , '명품패션' , '100900020' , '남성의류');</v>
      </c>
      <c r="B73" s="25">
        <v>100</v>
      </c>
      <c r="C73" s="24" t="s">
        <v>109</v>
      </c>
      <c r="D73" s="23">
        <v>100900</v>
      </c>
      <c r="E73" s="24" t="s">
        <v>178</v>
      </c>
      <c r="F73" s="23">
        <v>100900020</v>
      </c>
      <c r="G73" s="24" t="s">
        <v>180</v>
      </c>
    </row>
    <row r="74" spans="1:7" ht="12.75">
      <c r="A74" s="5" t="str">
        <f t="shared" si="1"/>
        <v>INSERT INTO CATEGORIES ( LargeCategoryCode , LargeCategoryName , MidCategoryCode , MidCategoryName , SmallCategoryCode , SmallCategoryName ) VALUES ( '100' , '패션의류/잡화' , '100900' , '명품패션' , '100900030' , '속옷');</v>
      </c>
      <c r="B74" s="23">
        <v>100</v>
      </c>
      <c r="C74" s="24" t="s">
        <v>109</v>
      </c>
      <c r="D74" s="23">
        <v>100900</v>
      </c>
      <c r="E74" s="24" t="s">
        <v>178</v>
      </c>
      <c r="F74" s="23">
        <v>100900030</v>
      </c>
      <c r="G74" s="24" t="s">
        <v>181</v>
      </c>
    </row>
    <row r="75" spans="1:7" ht="12.75">
      <c r="A75" s="5" t="str">
        <f t="shared" si="1"/>
        <v>INSERT INTO CATEGORIES ( LargeCategoryCode , LargeCategoryName , MidCategoryCode , MidCategoryName , SmallCategoryCode , SmallCategoryName ) VALUES ( '100' , '패션의류/잡화' , '100900' , '명품패션' , '100900040' , '신발');</v>
      </c>
      <c r="B75" s="25">
        <v>100</v>
      </c>
      <c r="C75" s="24" t="s">
        <v>109</v>
      </c>
      <c r="D75" s="23">
        <v>100900</v>
      </c>
      <c r="E75" s="24" t="s">
        <v>178</v>
      </c>
      <c r="F75" s="23">
        <v>100900040</v>
      </c>
      <c r="G75" s="24" t="s">
        <v>150</v>
      </c>
    </row>
    <row r="76" spans="1:7" ht="12.75">
      <c r="A76" s="5" t="str">
        <f t="shared" si="1"/>
        <v>INSERT INTO CATEGORIES ( LargeCategoryCode , LargeCategoryName , MidCategoryCode , MidCategoryName , SmallCategoryCode , SmallCategoryName ) VALUES ( '100' , '패션의류/잡화' , '100900' , '명품패션' , '100900050' , '가방');</v>
      </c>
      <c r="B76" s="23">
        <v>100</v>
      </c>
      <c r="C76" s="24" t="s">
        <v>109</v>
      </c>
      <c r="D76" s="23">
        <v>100900</v>
      </c>
      <c r="E76" s="24" t="s">
        <v>178</v>
      </c>
      <c r="F76" s="23">
        <v>100900050</v>
      </c>
      <c r="G76" s="24" t="s">
        <v>182</v>
      </c>
    </row>
    <row r="77" spans="1:7" ht="12.75">
      <c r="A77" s="5" t="str">
        <f t="shared" si="1"/>
        <v>INSERT INTO CATEGORIES ( LargeCategoryCode , LargeCategoryName , MidCategoryCode , MidCategoryName , SmallCategoryCode , SmallCategoryName ) VALUES ( '100' , '패션의류/잡화' , '100900' , '명품패션' , '100900060' , '지갑');</v>
      </c>
      <c r="B77" s="25">
        <v>100</v>
      </c>
      <c r="C77" s="24" t="s">
        <v>109</v>
      </c>
      <c r="D77" s="23">
        <v>100900</v>
      </c>
      <c r="E77" s="24" t="s">
        <v>178</v>
      </c>
      <c r="F77" s="23">
        <v>100900060</v>
      </c>
      <c r="G77" s="24" t="s">
        <v>183</v>
      </c>
    </row>
    <row r="78" spans="1:7" ht="12.75">
      <c r="A78" s="5" t="str">
        <f t="shared" si="1"/>
        <v>INSERT INTO CATEGORIES ( LargeCategoryCode , LargeCategoryName , MidCategoryCode , MidCategoryName , SmallCategoryCode , SmallCategoryName ) VALUES ( '100' , '패션의류/잡화' , '100900' , '명품패션' , '100900070' , '시계/쥬얼리');</v>
      </c>
      <c r="B78" s="23">
        <v>100</v>
      </c>
      <c r="C78" s="24" t="s">
        <v>109</v>
      </c>
      <c r="D78" s="23">
        <v>100900</v>
      </c>
      <c r="E78" s="24" t="s">
        <v>178</v>
      </c>
      <c r="F78" s="23">
        <v>100900070</v>
      </c>
      <c r="G78" s="24" t="s">
        <v>184</v>
      </c>
    </row>
    <row r="79" spans="1:7" ht="12.75">
      <c r="A79" s="5" t="str">
        <f t="shared" si="1"/>
        <v>INSERT INTO CATEGORIES ( LargeCategoryCode , LargeCategoryName , MidCategoryCode , MidCategoryName , SmallCategoryCode , SmallCategoryName ) VALUES ( '100' , '패션의류/잡화' , '100900' , '명품패션' , '100900080' , '벨트');</v>
      </c>
      <c r="B79" s="25">
        <v>100</v>
      </c>
      <c r="C79" s="24" t="s">
        <v>109</v>
      </c>
      <c r="D79" s="23">
        <v>100900</v>
      </c>
      <c r="E79" s="24" t="s">
        <v>178</v>
      </c>
      <c r="F79" s="23">
        <v>100900080</v>
      </c>
      <c r="G79" s="24" t="s">
        <v>185</v>
      </c>
    </row>
    <row r="80" spans="1:7" ht="12.75">
      <c r="A80" s="5" t="str">
        <f t="shared" si="1"/>
        <v>INSERT INTO CATEGORIES ( LargeCategoryCode , LargeCategoryName , MidCategoryCode , MidCategoryName , SmallCategoryCode , SmallCategoryName ) VALUES ( '100' , '패션의류/잡화' , '100900' , '명품패션' , '100900090' , '모자');</v>
      </c>
      <c r="B80" s="23">
        <v>100</v>
      </c>
      <c r="C80" s="24" t="s">
        <v>109</v>
      </c>
      <c r="D80" s="23">
        <v>100900</v>
      </c>
      <c r="E80" s="24" t="s">
        <v>178</v>
      </c>
      <c r="F80" s="23">
        <v>100900090</v>
      </c>
      <c r="G80" s="24" t="s">
        <v>172</v>
      </c>
    </row>
    <row r="81" spans="1:7" ht="12.75">
      <c r="A81" s="5" t="str">
        <f t="shared" si="1"/>
        <v>INSERT INTO CATEGORIES ( LargeCategoryCode , LargeCategoryName , MidCategoryCode , MidCategoryName , SmallCategoryCode , SmallCategoryName ) VALUES ( '100' , '패션의류/잡화' , '100900' , '명품패션' , '100900100' , '스카프/머플러');</v>
      </c>
      <c r="B81" s="25">
        <v>100</v>
      </c>
      <c r="C81" s="24" t="s">
        <v>109</v>
      </c>
      <c r="D81" s="23">
        <v>100900</v>
      </c>
      <c r="E81" s="24" t="s">
        <v>178</v>
      </c>
      <c r="F81" s="23">
        <v>100900100</v>
      </c>
      <c r="G81" s="24" t="s">
        <v>186</v>
      </c>
    </row>
    <row r="82" spans="1:7" ht="12.75">
      <c r="A82" s="5" t="str">
        <f t="shared" si="1"/>
        <v>INSERT INTO CATEGORIES ( LargeCategoryCode , LargeCategoryName , MidCategoryCode , MidCategoryName , SmallCategoryCode , SmallCategoryName ) VALUES ( '100' , '패션의류/잡화' , '100900' , '명품패션' , '100900110' , '안경테/선글라스');</v>
      </c>
      <c r="B82" s="23">
        <v>100</v>
      </c>
      <c r="C82" s="24" t="s">
        <v>109</v>
      </c>
      <c r="D82" s="23">
        <v>100900</v>
      </c>
      <c r="E82" s="24" t="s">
        <v>178</v>
      </c>
      <c r="F82" s="23">
        <v>100900110</v>
      </c>
      <c r="G82" s="24" t="s">
        <v>187</v>
      </c>
    </row>
    <row r="83" spans="1:7" ht="12.75">
      <c r="A83" s="5" t="str">
        <f t="shared" si="1"/>
        <v>INSERT INTO CATEGORIES ( LargeCategoryCode , LargeCategoryName , MidCategoryCode , MidCategoryName , SmallCategoryCode , SmallCategoryName ) VALUES ( '100' , '패션의류/잡화' , '100900' , '명품패션' , '100900120' , '넥타이');</v>
      </c>
      <c r="B83" s="25">
        <v>100</v>
      </c>
      <c r="C83" s="24" t="s">
        <v>109</v>
      </c>
      <c r="D83" s="23">
        <v>100900</v>
      </c>
      <c r="E83" s="24" t="s">
        <v>178</v>
      </c>
      <c r="F83" s="23">
        <v>100900120</v>
      </c>
      <c r="G83" s="24" t="s">
        <v>188</v>
      </c>
    </row>
    <row r="84" spans="1:7" ht="12.75">
      <c r="A84" s="5" t="str">
        <f t="shared" si="1"/>
        <v>INSERT INTO CATEGORIES ( LargeCategoryCode , LargeCategoryName , MidCategoryCode , MidCategoryName , SmallCategoryCode , SmallCategoryName ) VALUES ( '100' , '패션의류/잡화' , '100900' , '명품패션' , '100900130' , '기타패션잡화');</v>
      </c>
      <c r="B84" s="23">
        <v>100</v>
      </c>
      <c r="C84" s="24" t="s">
        <v>109</v>
      </c>
      <c r="D84" s="23">
        <v>100900</v>
      </c>
      <c r="E84" s="24" t="s">
        <v>178</v>
      </c>
      <c r="F84" s="23">
        <v>100900130</v>
      </c>
      <c r="G84" s="24" t="s">
        <v>189</v>
      </c>
    </row>
    <row r="85" spans="1:7" ht="12.75">
      <c r="A85" s="5" t="str">
        <f t="shared" si="1"/>
        <v>INSERT INTO CATEGORIES ( LargeCategoryCode , LargeCategoryName , MidCategoryCode , MidCategoryName , SmallCategoryCode , SmallCategoryName ) VALUES ( '200' , '뷰티' , '200100' , '명품화장품' , '200100010' , '스킨케어');</v>
      </c>
      <c r="B85" s="23">
        <v>200</v>
      </c>
      <c r="C85" s="24" t="s">
        <v>190</v>
      </c>
      <c r="D85" s="23">
        <v>200100</v>
      </c>
      <c r="E85" s="24" t="s">
        <v>191</v>
      </c>
      <c r="F85" s="23">
        <v>200100010</v>
      </c>
      <c r="G85" s="24" t="s">
        <v>192</v>
      </c>
    </row>
    <row r="86" spans="1:7" ht="12.75">
      <c r="A86" s="5" t="str">
        <f t="shared" si="1"/>
        <v>INSERT INTO CATEGORIES ( LargeCategoryCode , LargeCategoryName , MidCategoryCode , MidCategoryName , SmallCategoryCode , SmallCategoryName ) VALUES ( '200' , '뷰티' , '200100' , '명품화장품' , '200100020' , '메이크업');</v>
      </c>
      <c r="B86" s="23">
        <v>200</v>
      </c>
      <c r="C86" s="24" t="s">
        <v>190</v>
      </c>
      <c r="D86" s="23">
        <v>200100</v>
      </c>
      <c r="E86" s="24" t="s">
        <v>191</v>
      </c>
      <c r="F86" s="23">
        <v>200100020</v>
      </c>
      <c r="G86" s="24" t="s">
        <v>193</v>
      </c>
    </row>
    <row r="87" spans="1:7" ht="12.75">
      <c r="A87" s="5" t="str">
        <f t="shared" si="1"/>
        <v>INSERT INTO CATEGORIES ( LargeCategoryCode , LargeCategoryName , MidCategoryCode , MidCategoryName , SmallCategoryCode , SmallCategoryName ) VALUES ( '200' , '뷰티' , '200100' , '명품화장품' , '200100030' , '향수');</v>
      </c>
      <c r="B87" s="23">
        <v>200</v>
      </c>
      <c r="C87" s="24" t="s">
        <v>190</v>
      </c>
      <c r="D87" s="23">
        <v>200100</v>
      </c>
      <c r="E87" s="24" t="s">
        <v>191</v>
      </c>
      <c r="F87" s="23">
        <v>200100030</v>
      </c>
      <c r="G87" s="24" t="s">
        <v>194</v>
      </c>
    </row>
    <row r="88" spans="1:7" ht="12.75">
      <c r="A88" s="5" t="str">
        <f t="shared" si="1"/>
        <v>INSERT INTO CATEGORIES ( LargeCategoryCode , LargeCategoryName , MidCategoryCode , MidCategoryName , SmallCategoryCode , SmallCategoryName ) VALUES ( '200' , '뷰티' , '200100' , '명품화장품' , '200100040' , '헤어케어');</v>
      </c>
      <c r="B88" s="23">
        <v>200</v>
      </c>
      <c r="C88" s="24" t="s">
        <v>190</v>
      </c>
      <c r="D88" s="23">
        <v>200100</v>
      </c>
      <c r="E88" s="24" t="s">
        <v>191</v>
      </c>
      <c r="F88" s="23">
        <v>200100040</v>
      </c>
      <c r="G88" s="24" t="s">
        <v>195</v>
      </c>
    </row>
    <row r="89" spans="1:7" ht="12.75">
      <c r="A89" s="5" t="str">
        <f t="shared" si="1"/>
        <v>INSERT INTO CATEGORIES ( LargeCategoryCode , LargeCategoryName , MidCategoryCode , MidCategoryName , SmallCategoryCode , SmallCategoryName ) VALUES ( '200' , '뷰티' , '200100' , '명품화장품' , '200100050' , '바디케어');</v>
      </c>
      <c r="B89" s="23">
        <v>200</v>
      </c>
      <c r="C89" s="24" t="s">
        <v>190</v>
      </c>
      <c r="D89" s="23">
        <v>200100</v>
      </c>
      <c r="E89" s="24" t="s">
        <v>191</v>
      </c>
      <c r="F89" s="23">
        <v>200100050</v>
      </c>
      <c r="G89" s="24" t="s">
        <v>196</v>
      </c>
    </row>
    <row r="90" spans="1:7" ht="12.75">
      <c r="A90" s="5" t="str">
        <f t="shared" si="1"/>
        <v>INSERT INTO CATEGORIES ( LargeCategoryCode , LargeCategoryName , MidCategoryCode , MidCategoryName , SmallCategoryCode , SmallCategoryName ) VALUES ( '200' , '뷰티' , '200100' , '명품화장품' , '200100060' , '남성화장품');</v>
      </c>
      <c r="B90" s="23">
        <v>200</v>
      </c>
      <c r="C90" s="24" t="s">
        <v>190</v>
      </c>
      <c r="D90" s="23">
        <v>200100</v>
      </c>
      <c r="E90" s="24" t="s">
        <v>191</v>
      </c>
      <c r="F90" s="23">
        <v>200100060</v>
      </c>
      <c r="G90" s="24" t="s">
        <v>197</v>
      </c>
    </row>
    <row r="91" spans="1:7" ht="12.75">
      <c r="A91" s="5" t="str">
        <f t="shared" si="1"/>
        <v>INSERT INTO CATEGORIES ( LargeCategoryCode , LargeCategoryName , MidCategoryCode , MidCategoryName , SmallCategoryCode , SmallCategoryName ) VALUES ( '200' , '뷰티' , '200100' , '명품화장품' , '200100070' , '뷰티소품');</v>
      </c>
      <c r="B91" s="23">
        <v>200</v>
      </c>
      <c r="C91" s="24" t="s">
        <v>190</v>
      </c>
      <c r="D91" s="23">
        <v>200100</v>
      </c>
      <c r="E91" s="24" t="s">
        <v>191</v>
      </c>
      <c r="F91" s="23">
        <v>200100070</v>
      </c>
      <c r="G91" s="24" t="s">
        <v>198</v>
      </c>
    </row>
    <row r="92" spans="1:7" ht="12.75">
      <c r="A92" s="5" t="str">
        <f t="shared" si="1"/>
        <v>INSERT INTO CATEGORIES ( LargeCategoryCode , LargeCategoryName , MidCategoryCode , MidCategoryName , SmallCategoryCode , SmallCategoryName ) VALUES ( '200' , '뷰티' , '200200' , '스킨케어' , '200200010' , '기초화장품');</v>
      </c>
      <c r="B92" s="23">
        <v>200</v>
      </c>
      <c r="C92" s="24" t="s">
        <v>190</v>
      </c>
      <c r="D92" s="23">
        <v>200200</v>
      </c>
      <c r="E92" s="24" t="s">
        <v>192</v>
      </c>
      <c r="F92" s="23">
        <v>200200010</v>
      </c>
      <c r="G92" s="24" t="s">
        <v>199</v>
      </c>
    </row>
    <row r="93" spans="1:7" ht="12.75">
      <c r="A93" s="5" t="str">
        <f t="shared" si="1"/>
        <v>INSERT INTO CATEGORIES ( LargeCategoryCode , LargeCategoryName , MidCategoryCode , MidCategoryName , SmallCategoryCode , SmallCategoryName ) VALUES ( '200' , '뷰티' , '200200' , '스킨케어' , '200200020' , '클렌징/필링');</v>
      </c>
      <c r="B93" s="23">
        <v>200</v>
      </c>
      <c r="C93" s="24" t="s">
        <v>190</v>
      </c>
      <c r="D93" s="23">
        <v>200200</v>
      </c>
      <c r="E93" s="24" t="s">
        <v>192</v>
      </c>
      <c r="F93" s="23">
        <v>200200020</v>
      </c>
      <c r="G93" s="24" t="s">
        <v>200</v>
      </c>
    </row>
    <row r="94" spans="1:7" ht="12.75">
      <c r="A94" s="5" t="str">
        <f t="shared" si="1"/>
        <v>INSERT INTO CATEGORIES ( LargeCategoryCode , LargeCategoryName , MidCategoryCode , MidCategoryName , SmallCategoryCode , SmallCategoryName ) VALUES ( '200' , '뷰티' , '200200' , '스킨케어' , '200200030' , '마스크/팩');</v>
      </c>
      <c r="B94" s="23">
        <v>200</v>
      </c>
      <c r="C94" s="24" t="s">
        <v>190</v>
      </c>
      <c r="D94" s="23">
        <v>200200</v>
      </c>
      <c r="E94" s="24" t="s">
        <v>192</v>
      </c>
      <c r="F94" s="23">
        <v>200200030</v>
      </c>
      <c r="G94" s="24" t="s">
        <v>201</v>
      </c>
    </row>
    <row r="95" spans="1:7" ht="12.75">
      <c r="A95" s="5" t="str">
        <f t="shared" si="1"/>
        <v>INSERT INTO CATEGORIES ( LargeCategoryCode , LargeCategoryName , MidCategoryCode , MidCategoryName , SmallCategoryCode , SmallCategoryName ) VALUES ( '200' , '뷰티' , '200200' , '스킨케어' , '200200040' , '선케어/태닝');</v>
      </c>
      <c r="B95" s="23">
        <v>200</v>
      </c>
      <c r="C95" s="24" t="s">
        <v>190</v>
      </c>
      <c r="D95" s="23">
        <v>200200</v>
      </c>
      <c r="E95" s="24" t="s">
        <v>192</v>
      </c>
      <c r="F95" s="23">
        <v>200200040</v>
      </c>
      <c r="G95" s="24" t="s">
        <v>202</v>
      </c>
    </row>
    <row r="96" spans="1:7" ht="12.75">
      <c r="A96" s="5" t="str">
        <f t="shared" si="1"/>
        <v>INSERT INTO CATEGORIES ( LargeCategoryCode , LargeCategoryName , MidCategoryCode , MidCategoryName , SmallCategoryCode , SmallCategoryName ) VALUES ( '200' , '뷰티' , '200300' , '메이크업' , '200300010' , '아이 메이크업');</v>
      </c>
      <c r="B96" s="23">
        <v>200</v>
      </c>
      <c r="C96" s="24" t="s">
        <v>190</v>
      </c>
      <c r="D96" s="23">
        <v>200300</v>
      </c>
      <c r="E96" s="24" t="s">
        <v>193</v>
      </c>
      <c r="F96" s="23">
        <v>200300010</v>
      </c>
      <c r="G96" s="24" t="s">
        <v>203</v>
      </c>
    </row>
    <row r="97" spans="1:7" ht="12.75">
      <c r="A97" s="5" t="str">
        <f t="shared" si="1"/>
        <v>INSERT INTO CATEGORIES ( LargeCategoryCode , LargeCategoryName , MidCategoryCode , MidCategoryName , SmallCategoryCode , SmallCategoryName ) VALUES ( '200' , '뷰티' , '200300' , '메이크업' , '200300020' , '립 메이크업');</v>
      </c>
      <c r="B97" s="23">
        <v>200</v>
      </c>
      <c r="C97" s="24" t="s">
        <v>190</v>
      </c>
      <c r="D97" s="23">
        <v>200300</v>
      </c>
      <c r="E97" s="24" t="s">
        <v>193</v>
      </c>
      <c r="F97" s="23">
        <v>200300020</v>
      </c>
      <c r="G97" s="24" t="s">
        <v>204</v>
      </c>
    </row>
    <row r="98" spans="1:7" ht="12.75">
      <c r="A98" s="5" t="str">
        <f t="shared" si="1"/>
        <v>INSERT INTO CATEGORIES ( LargeCategoryCode , LargeCategoryName , MidCategoryCode , MidCategoryName , SmallCategoryCode , SmallCategoryName ) VALUES ( '200' , '뷰티' , '200300' , '메이크업' , '200300030' , '베이스 메이크업');</v>
      </c>
      <c r="B98" s="23">
        <v>200</v>
      </c>
      <c r="C98" s="24" t="s">
        <v>190</v>
      </c>
      <c r="D98" s="23">
        <v>200300</v>
      </c>
      <c r="E98" s="24" t="s">
        <v>193</v>
      </c>
      <c r="F98" s="23">
        <v>200300030</v>
      </c>
      <c r="G98" s="24" t="s">
        <v>205</v>
      </c>
    </row>
    <row r="99" spans="1:7" ht="12.75">
      <c r="A99" s="5" t="str">
        <f t="shared" si="1"/>
        <v>INSERT INTO CATEGORIES ( LargeCategoryCode , LargeCategoryName , MidCategoryCode , MidCategoryName , SmallCategoryCode , SmallCategoryName ) VALUES ( '200' , '뷰티' , '200300' , '메이크업' , '200300040' , '치크 메이크업');</v>
      </c>
      <c r="B99" s="23">
        <v>200</v>
      </c>
      <c r="C99" s="24" t="s">
        <v>190</v>
      </c>
      <c r="D99" s="23">
        <v>200300</v>
      </c>
      <c r="E99" s="24" t="s">
        <v>193</v>
      </c>
      <c r="F99" s="23">
        <v>200300040</v>
      </c>
      <c r="G99" s="24" t="s">
        <v>206</v>
      </c>
    </row>
    <row r="100" spans="1:7" ht="12.75">
      <c r="A100" s="5" t="str">
        <f t="shared" si="1"/>
        <v>INSERT INTO CATEGORIES ( LargeCategoryCode , LargeCategoryName , MidCategoryCode , MidCategoryName , SmallCategoryCode , SmallCategoryName ) VALUES ( '200' , '뷰티' , '200300' , '메이크업' , '200300050' , '멀티메이크업');</v>
      </c>
      <c r="B100" s="23">
        <v>200</v>
      </c>
      <c r="C100" s="24" t="s">
        <v>190</v>
      </c>
      <c r="D100" s="23">
        <v>200300</v>
      </c>
      <c r="E100" s="24" t="s">
        <v>193</v>
      </c>
      <c r="F100" s="23">
        <v>200300050</v>
      </c>
      <c r="G100" s="24" t="s">
        <v>207</v>
      </c>
    </row>
    <row r="101" spans="1:7" ht="12.75">
      <c r="A101" s="5" t="str">
        <f t="shared" si="1"/>
        <v>INSERT INTO CATEGORIES ( LargeCategoryCode , LargeCategoryName , MidCategoryCode , MidCategoryName , SmallCategoryCode , SmallCategoryName ) VALUES ( '200' , '뷰티' , '200300' , '메이크업' , '200300060' , '바디메이크업');</v>
      </c>
      <c r="B101" s="23">
        <v>200</v>
      </c>
      <c r="C101" s="24" t="s">
        <v>190</v>
      </c>
      <c r="D101" s="23">
        <v>200300</v>
      </c>
      <c r="E101" s="24" t="s">
        <v>193</v>
      </c>
      <c r="F101" s="23">
        <v>200300060</v>
      </c>
      <c r="G101" s="24" t="s">
        <v>208</v>
      </c>
    </row>
    <row r="102" spans="1:7" ht="12.75">
      <c r="A102" s="5" t="str">
        <f t="shared" si="1"/>
        <v>INSERT INTO CATEGORIES ( LargeCategoryCode , LargeCategoryName , MidCategoryCode , MidCategoryName , SmallCategoryCode , SmallCategoryName ) VALUES ( '200' , '뷰티' , '200400' , '향수' , '200400010' , '여성향수');</v>
      </c>
      <c r="B102" s="23">
        <v>200</v>
      </c>
      <c r="C102" s="24" t="s">
        <v>190</v>
      </c>
      <c r="D102" s="23">
        <v>200400</v>
      </c>
      <c r="E102" s="24" t="s">
        <v>194</v>
      </c>
      <c r="F102" s="23">
        <v>200400010</v>
      </c>
      <c r="G102" s="24" t="s">
        <v>209</v>
      </c>
    </row>
    <row r="103" spans="1:7" ht="12.75">
      <c r="A103" s="5" t="str">
        <f t="shared" si="1"/>
        <v>INSERT INTO CATEGORIES ( LargeCategoryCode , LargeCategoryName , MidCategoryCode , MidCategoryName , SmallCategoryCode , SmallCategoryName ) VALUES ( '200' , '뷰티' , '200400' , '향수' , '200400020' , '남성향수');</v>
      </c>
      <c r="B103" s="23">
        <v>200</v>
      </c>
      <c r="C103" s="24" t="s">
        <v>190</v>
      </c>
      <c r="D103" s="23">
        <v>200400</v>
      </c>
      <c r="E103" s="24" t="s">
        <v>194</v>
      </c>
      <c r="F103" s="23">
        <v>200400020</v>
      </c>
      <c r="G103" s="24" t="s">
        <v>210</v>
      </c>
    </row>
    <row r="104" spans="1:7" ht="12.75">
      <c r="A104" s="5" t="str">
        <f t="shared" si="1"/>
        <v>INSERT INTO CATEGORIES ( LargeCategoryCode , LargeCategoryName , MidCategoryCode , MidCategoryName , SmallCategoryCode , SmallCategoryName ) VALUES ( '200' , '뷰티' , '200400' , '향수' , '200400030' , '드레스퍼퓸');</v>
      </c>
      <c r="B104" s="23">
        <v>200</v>
      </c>
      <c r="C104" s="24" t="s">
        <v>190</v>
      </c>
      <c r="D104" s="23">
        <v>200400</v>
      </c>
      <c r="E104" s="24" t="s">
        <v>194</v>
      </c>
      <c r="F104" s="23">
        <v>200400030</v>
      </c>
      <c r="G104" s="24" t="s">
        <v>211</v>
      </c>
    </row>
    <row r="105" spans="1:7" ht="12.75">
      <c r="A105" s="5" t="str">
        <f t="shared" si="1"/>
        <v>INSERT INTO CATEGORIES ( LargeCategoryCode , LargeCategoryName , MidCategoryCode , MidCategoryName , SmallCategoryCode , SmallCategoryName ) VALUES ( '200' , '뷰티' , '200500' , '남성화장품' , '200500010' , '남성스킨케어');</v>
      </c>
      <c r="B105" s="23">
        <v>200</v>
      </c>
      <c r="C105" s="24" t="s">
        <v>190</v>
      </c>
      <c r="D105" s="23">
        <v>200500</v>
      </c>
      <c r="E105" s="24" t="s">
        <v>197</v>
      </c>
      <c r="F105" s="23">
        <v>200500010</v>
      </c>
      <c r="G105" s="24" t="s">
        <v>212</v>
      </c>
    </row>
    <row r="106" spans="1:7" ht="12.75">
      <c r="A106" s="5" t="str">
        <f t="shared" si="1"/>
        <v>INSERT INTO CATEGORIES ( LargeCategoryCode , LargeCategoryName , MidCategoryCode , MidCategoryName , SmallCategoryCode , SmallCategoryName ) VALUES ( '200' , '뷰티' , '200500' , '남성화장품' , '200500020' , '남성메이크업');</v>
      </c>
      <c r="B106" s="23">
        <v>200</v>
      </c>
      <c r="C106" s="24" t="s">
        <v>190</v>
      </c>
      <c r="D106" s="23">
        <v>200500</v>
      </c>
      <c r="E106" s="24" t="s">
        <v>197</v>
      </c>
      <c r="F106" s="23">
        <v>200500020</v>
      </c>
      <c r="G106" s="24" t="s">
        <v>213</v>
      </c>
    </row>
    <row r="107" spans="1:7" ht="12.75">
      <c r="A107" s="5" t="str">
        <f t="shared" si="1"/>
        <v>INSERT INTO CATEGORIES ( LargeCategoryCode , LargeCategoryName , MidCategoryCode , MidCategoryName , SmallCategoryCode , SmallCategoryName ) VALUES ( '200' , '뷰티' , '200500' , '남성화장품' , '200500030' , '남성화장품세트');</v>
      </c>
      <c r="B107" s="23">
        <v>200</v>
      </c>
      <c r="C107" s="24" t="s">
        <v>190</v>
      </c>
      <c r="D107" s="23">
        <v>200500</v>
      </c>
      <c r="E107" s="24" t="s">
        <v>197</v>
      </c>
      <c r="F107" s="23">
        <v>200500030</v>
      </c>
      <c r="G107" s="24" t="s">
        <v>214</v>
      </c>
    </row>
    <row r="108" spans="1:7" ht="12.75">
      <c r="A108" s="5" t="str">
        <f t="shared" si="1"/>
        <v>INSERT INTO CATEGORIES ( LargeCategoryCode , LargeCategoryName , MidCategoryCode , MidCategoryName , SmallCategoryCode , SmallCategoryName ) VALUES ( '200' , '뷰티' , '200500' , '남성화장품' , '200500040' , '남성 헤어케어');</v>
      </c>
      <c r="B108" s="23">
        <v>200</v>
      </c>
      <c r="C108" s="24" t="s">
        <v>190</v>
      </c>
      <c r="D108" s="23">
        <v>200500</v>
      </c>
      <c r="E108" s="24" t="s">
        <v>197</v>
      </c>
      <c r="F108" s="23">
        <v>200500040</v>
      </c>
      <c r="G108" s="24" t="s">
        <v>215</v>
      </c>
    </row>
    <row r="109" spans="1:7" ht="12.75">
      <c r="A109" s="5" t="str">
        <f t="shared" si="1"/>
        <v>INSERT INTO CATEGORIES ( LargeCategoryCode , LargeCategoryName , MidCategoryCode , MidCategoryName , SmallCategoryCode , SmallCategoryName ) VALUES ( '200' , '뷰티' , '200500' , '남성화장품' , '200500050' , '남성 바디케어');</v>
      </c>
      <c r="B109" s="23">
        <v>200</v>
      </c>
      <c r="C109" s="24" t="s">
        <v>190</v>
      </c>
      <c r="D109" s="23">
        <v>200500</v>
      </c>
      <c r="E109" s="24" t="s">
        <v>197</v>
      </c>
      <c r="F109" s="23">
        <v>200500050</v>
      </c>
      <c r="G109" s="24" t="s">
        <v>216</v>
      </c>
    </row>
    <row r="110" spans="1:7" ht="12.75">
      <c r="A110" s="5" t="str">
        <f t="shared" si="1"/>
        <v>INSERT INTO CATEGORIES ( LargeCategoryCode , LargeCategoryName , MidCategoryCode , MidCategoryName , SmallCategoryCode , SmallCategoryName ) VALUES ( '200' , '뷰티' , '200500' , '남성화장품' , '200500060' , '남성 쉐이빙 케어');</v>
      </c>
      <c r="B110" s="23">
        <v>200</v>
      </c>
      <c r="C110" s="24" t="s">
        <v>190</v>
      </c>
      <c r="D110" s="23">
        <v>200500</v>
      </c>
      <c r="E110" s="24" t="s">
        <v>197</v>
      </c>
      <c r="F110" s="23">
        <v>200500060</v>
      </c>
      <c r="G110" s="24" t="s">
        <v>217</v>
      </c>
    </row>
    <row r="111" spans="1:7" ht="12.75">
      <c r="A111" s="5" t="str">
        <f t="shared" si="1"/>
        <v>INSERT INTO CATEGORIES ( LargeCategoryCode , LargeCategoryName , MidCategoryCode , MidCategoryName , SmallCategoryCode , SmallCategoryName ) VALUES ( '200' , '뷰티' , '200600' , '네일' , '200600010' , '큐티클/영양');</v>
      </c>
      <c r="B111" s="23">
        <v>200</v>
      </c>
      <c r="C111" s="24" t="s">
        <v>190</v>
      </c>
      <c r="D111" s="23">
        <v>200600</v>
      </c>
      <c r="E111" s="24" t="s">
        <v>218</v>
      </c>
      <c r="F111" s="23">
        <v>200600010</v>
      </c>
      <c r="G111" s="24" t="s">
        <v>219</v>
      </c>
    </row>
    <row r="112" spans="1:7" ht="12.75">
      <c r="A112" s="5" t="str">
        <f t="shared" si="1"/>
        <v>INSERT INTO CATEGORIES ( LargeCategoryCode , LargeCategoryName , MidCategoryCode , MidCategoryName , SmallCategoryCode , SmallCategoryName ) VALUES ( '200' , '뷰티' , '200600' , '네일' , '200600020' , '일반네일');</v>
      </c>
      <c r="B112" s="23">
        <v>200</v>
      </c>
      <c r="C112" s="24" t="s">
        <v>190</v>
      </c>
      <c r="D112" s="23">
        <v>200600</v>
      </c>
      <c r="E112" s="24" t="s">
        <v>218</v>
      </c>
      <c r="F112" s="23">
        <v>200600020</v>
      </c>
      <c r="G112" s="24" t="s">
        <v>220</v>
      </c>
    </row>
    <row r="113" spans="1:7" ht="12.75">
      <c r="A113" s="5" t="str">
        <f t="shared" si="1"/>
        <v>INSERT INTO CATEGORIES ( LargeCategoryCode , LargeCategoryName , MidCategoryCode , MidCategoryName , SmallCategoryCode , SmallCategoryName ) VALUES ( '200' , '뷰티' , '200600' , '네일' , '200600030' , '젤네일');</v>
      </c>
      <c r="B113" s="23">
        <v>200</v>
      </c>
      <c r="C113" s="24" t="s">
        <v>190</v>
      </c>
      <c r="D113" s="23">
        <v>200600</v>
      </c>
      <c r="E113" s="24" t="s">
        <v>218</v>
      </c>
      <c r="F113" s="23">
        <v>200600030</v>
      </c>
      <c r="G113" s="24" t="s">
        <v>221</v>
      </c>
    </row>
    <row r="114" spans="1:7" ht="12.75">
      <c r="A114" s="5" t="str">
        <f t="shared" si="1"/>
        <v>INSERT INTO CATEGORIES ( LargeCategoryCode , LargeCategoryName , MidCategoryCode , MidCategoryName , SmallCategoryCode , SmallCategoryName ) VALUES ( '200' , '뷰티' , '200600' , '네일' , '200600040' , '네일케어도구');</v>
      </c>
      <c r="B114" s="23">
        <v>200</v>
      </c>
      <c r="C114" s="24" t="s">
        <v>190</v>
      </c>
      <c r="D114" s="23">
        <v>200600</v>
      </c>
      <c r="E114" s="24" t="s">
        <v>218</v>
      </c>
      <c r="F114" s="23">
        <v>200600040</v>
      </c>
      <c r="G114" s="24" t="s">
        <v>222</v>
      </c>
    </row>
    <row r="115" spans="1:7" ht="12.75">
      <c r="A115" s="5" t="str">
        <f t="shared" si="1"/>
        <v>INSERT INTO CATEGORIES ( LargeCategoryCode , LargeCategoryName , MidCategoryCode , MidCategoryName , SmallCategoryCode , SmallCategoryName ) VALUES ( '200' , '뷰티' , '200600' , '네일' , '200600050' , '네일아트소품/도구');</v>
      </c>
      <c r="B115" s="23">
        <v>200</v>
      </c>
      <c r="C115" s="24" t="s">
        <v>190</v>
      </c>
      <c r="D115" s="23">
        <v>200600</v>
      </c>
      <c r="E115" s="24" t="s">
        <v>218</v>
      </c>
      <c r="F115" s="23">
        <v>200600050</v>
      </c>
      <c r="G115" s="26" t="s">
        <v>223</v>
      </c>
    </row>
    <row r="116" spans="1:7" ht="12.75">
      <c r="A116" s="5" t="str">
        <f t="shared" si="1"/>
        <v>INSERT INTO CATEGORIES ( LargeCategoryCode , LargeCategoryName , MidCategoryCode , MidCategoryName , SmallCategoryCode , SmallCategoryName ) VALUES ( '200' , '뷰티' , '200600' , '네일' , '200600060' , '네일세트');</v>
      </c>
      <c r="B116" s="23">
        <v>200</v>
      </c>
      <c r="C116" s="24" t="s">
        <v>190</v>
      </c>
      <c r="D116" s="23">
        <v>200600</v>
      </c>
      <c r="E116" s="24" t="s">
        <v>218</v>
      </c>
      <c r="F116" s="23">
        <v>200600060</v>
      </c>
      <c r="G116" s="24" t="s">
        <v>224</v>
      </c>
    </row>
    <row r="117" spans="1:7" ht="12.75">
      <c r="A117" s="5" t="str">
        <f t="shared" si="1"/>
        <v>INSERT INTO CATEGORIES ( LargeCategoryCode , LargeCategoryName , MidCategoryCode , MidCategoryName , SmallCategoryCode , SmallCategoryName ) VALUES ( '200' , '뷰티' , '200700' , '뷰티소품' , '200700010' , '화장솜/면봉');</v>
      </c>
      <c r="B117" s="23">
        <v>200</v>
      </c>
      <c r="C117" s="24" t="s">
        <v>190</v>
      </c>
      <c r="D117" s="23">
        <v>200700</v>
      </c>
      <c r="E117" s="24" t="s">
        <v>198</v>
      </c>
      <c r="F117" s="23">
        <v>200700010</v>
      </c>
      <c r="G117" s="24" t="s">
        <v>225</v>
      </c>
    </row>
    <row r="118" spans="1:7" ht="12.75">
      <c r="A118" s="5" t="str">
        <f t="shared" si="1"/>
        <v>INSERT INTO CATEGORIES ( LargeCategoryCode , LargeCategoryName , MidCategoryCode , MidCategoryName , SmallCategoryCode , SmallCategoryName ) VALUES ( '200' , '뷰티' , '200700' , '뷰티소품' , '200700020' , '아이소품');</v>
      </c>
      <c r="B118" s="23">
        <v>200</v>
      </c>
      <c r="C118" s="24" t="s">
        <v>190</v>
      </c>
      <c r="D118" s="23">
        <v>200700</v>
      </c>
      <c r="E118" s="24" t="s">
        <v>198</v>
      </c>
      <c r="F118" s="23">
        <v>200700020</v>
      </c>
      <c r="G118" s="24" t="s">
        <v>226</v>
      </c>
    </row>
    <row r="119" spans="1:7" ht="12.75">
      <c r="A119" s="5" t="str">
        <f t="shared" si="1"/>
        <v>INSERT INTO CATEGORIES ( LargeCategoryCode , LargeCategoryName , MidCategoryCode , MidCategoryName , SmallCategoryCode , SmallCategoryName ) VALUES ( '200' , '뷰티' , '200700' , '뷰티소품' , '200700030' , '페이스소품');</v>
      </c>
      <c r="B119" s="23">
        <v>200</v>
      </c>
      <c r="C119" s="24" t="s">
        <v>190</v>
      </c>
      <c r="D119" s="23">
        <v>200700</v>
      </c>
      <c r="E119" s="24" t="s">
        <v>198</v>
      </c>
      <c r="F119" s="23">
        <v>200700030</v>
      </c>
      <c r="G119" s="24" t="s">
        <v>227</v>
      </c>
    </row>
    <row r="120" spans="1:7" ht="12.75">
      <c r="A120" s="5" t="str">
        <f t="shared" si="1"/>
        <v>INSERT INTO CATEGORIES ( LargeCategoryCode , LargeCategoryName , MidCategoryCode , MidCategoryName , SmallCategoryCode , SmallCategoryName ) VALUES ( '200' , '뷰티' , '200700' , '뷰티소품' , '200700040' , '클렌징소품');</v>
      </c>
      <c r="B120" s="23">
        <v>200</v>
      </c>
      <c r="C120" s="24" t="s">
        <v>190</v>
      </c>
      <c r="D120" s="23">
        <v>200700</v>
      </c>
      <c r="E120" s="24" t="s">
        <v>198</v>
      </c>
      <c r="F120" s="23">
        <v>200700040</v>
      </c>
      <c r="G120" s="24" t="s">
        <v>228</v>
      </c>
    </row>
    <row r="121" spans="1:7" ht="12.75">
      <c r="A121" s="5" t="str">
        <f t="shared" si="1"/>
        <v>INSERT INTO CATEGORIES ( LargeCategoryCode , LargeCategoryName , MidCategoryCode , MidCategoryName , SmallCategoryCode , SmallCategoryName ) VALUES ( '200' , '뷰티' , '200700' , '뷰티소품' , '200700050' , '헤어소품');</v>
      </c>
      <c r="B121" s="23">
        <v>200</v>
      </c>
      <c r="C121" s="24" t="s">
        <v>190</v>
      </c>
      <c r="D121" s="23">
        <v>200700</v>
      </c>
      <c r="E121" s="24" t="s">
        <v>198</v>
      </c>
      <c r="F121" s="23">
        <v>200700050</v>
      </c>
      <c r="G121" s="24" t="s">
        <v>229</v>
      </c>
    </row>
    <row r="122" spans="1:7" ht="12.75">
      <c r="A122" s="5" t="str">
        <f t="shared" si="1"/>
        <v>INSERT INTO CATEGORIES ( LargeCategoryCode , LargeCategoryName , MidCategoryCode , MidCategoryName , SmallCategoryCode , SmallCategoryName ) VALUES ( '200' , '뷰티' , '200700' , '뷰티소품' , '200700060' , '피부관리기');</v>
      </c>
      <c r="B122" s="23">
        <v>200</v>
      </c>
      <c r="C122" s="24" t="s">
        <v>190</v>
      </c>
      <c r="D122" s="23">
        <v>200700</v>
      </c>
      <c r="E122" s="24" t="s">
        <v>198</v>
      </c>
      <c r="F122" s="23">
        <v>200700060</v>
      </c>
      <c r="G122" s="24" t="s">
        <v>230</v>
      </c>
    </row>
    <row r="123" spans="1:7" ht="12.75">
      <c r="A123" s="5" t="str">
        <f t="shared" si="1"/>
        <v>INSERT INTO CATEGORIES ( LargeCategoryCode , LargeCategoryName , MidCategoryCode , MidCategoryName , SmallCategoryCode , SmallCategoryName ) VALUES ( '200' , '뷰티' , '200700' , '뷰티소품' , '200700070' , '용기/거울/기타소품');</v>
      </c>
      <c r="B123" s="23">
        <v>200</v>
      </c>
      <c r="C123" s="24" t="s">
        <v>190</v>
      </c>
      <c r="D123" s="23">
        <v>200700</v>
      </c>
      <c r="E123" s="24" t="s">
        <v>198</v>
      </c>
      <c r="F123" s="23">
        <v>200700070</v>
      </c>
      <c r="G123" s="26" t="s">
        <v>231</v>
      </c>
    </row>
    <row r="124" spans="1:7" ht="12.75">
      <c r="A124" s="5" t="str">
        <f t="shared" si="1"/>
        <v>INSERT INTO CATEGORIES ( LargeCategoryCode , LargeCategoryName , MidCategoryCode , MidCategoryName , SmallCategoryCode , SmallCategoryName ) VALUES ( '200' , '뷰티' , '200800' , '헤어' , '200800010' , '샴푸');</v>
      </c>
      <c r="B124" s="23">
        <v>200</v>
      </c>
      <c r="C124" s="24" t="s">
        <v>190</v>
      </c>
      <c r="D124" s="23">
        <v>200800</v>
      </c>
      <c r="E124" s="24" t="s">
        <v>232</v>
      </c>
      <c r="F124" s="23">
        <v>200800010</v>
      </c>
      <c r="G124" s="24" t="s">
        <v>233</v>
      </c>
    </row>
    <row r="125" spans="1:7" ht="12.75">
      <c r="A125" s="5" t="str">
        <f t="shared" si="1"/>
        <v>INSERT INTO CATEGORIES ( LargeCategoryCode , LargeCategoryName , MidCategoryCode , MidCategoryName , SmallCategoryCode , SmallCategoryName ) VALUES ( '200' , '뷰티' , '200800' , '헤어' , '200800020' , '린스/컨디셔너');</v>
      </c>
      <c r="B125" s="23">
        <v>200</v>
      </c>
      <c r="C125" s="24" t="s">
        <v>190</v>
      </c>
      <c r="D125" s="23">
        <v>200800</v>
      </c>
      <c r="E125" s="24" t="s">
        <v>232</v>
      </c>
      <c r="F125" s="23">
        <v>200800020</v>
      </c>
      <c r="G125" s="24" t="s">
        <v>234</v>
      </c>
    </row>
    <row r="126" spans="1:7" ht="12.75">
      <c r="A126" s="5" t="str">
        <f t="shared" si="1"/>
        <v>INSERT INTO CATEGORIES ( LargeCategoryCode , LargeCategoryName , MidCategoryCode , MidCategoryName , SmallCategoryCode , SmallCategoryName ) VALUES ( '200' , '뷰티' , '200800' , '헤어' , '200800030' , '트리트먼트/팩');</v>
      </c>
      <c r="B126" s="23">
        <v>200</v>
      </c>
      <c r="C126" s="24" t="s">
        <v>190</v>
      </c>
      <c r="D126" s="23">
        <v>200800</v>
      </c>
      <c r="E126" s="24" t="s">
        <v>232</v>
      </c>
      <c r="F126" s="23">
        <v>200800030</v>
      </c>
      <c r="G126" s="24" t="s">
        <v>235</v>
      </c>
    </row>
    <row r="127" spans="1:7" ht="12.75">
      <c r="A127" s="5" t="str">
        <f t="shared" si="1"/>
        <v>INSERT INTO CATEGORIES ( LargeCategoryCode , LargeCategoryName , MidCategoryCode , MidCategoryName , SmallCategoryCode , SmallCategoryName ) VALUES ( '200' , '뷰티' , '200800' , '헤어' , '200800040' , '헤어에센스/오일');</v>
      </c>
      <c r="B127" s="23">
        <v>200</v>
      </c>
      <c r="C127" s="24" t="s">
        <v>190</v>
      </c>
      <c r="D127" s="23">
        <v>200800</v>
      </c>
      <c r="E127" s="24" t="s">
        <v>232</v>
      </c>
      <c r="F127" s="23">
        <v>200800040</v>
      </c>
      <c r="G127" s="24" t="s">
        <v>236</v>
      </c>
    </row>
    <row r="128" spans="1:7" ht="12.75">
      <c r="A128" s="5" t="str">
        <f t="shared" si="1"/>
        <v>INSERT INTO CATEGORIES ( LargeCategoryCode , LargeCategoryName , MidCategoryCode , MidCategoryName , SmallCategoryCode , SmallCategoryName ) VALUES ( '200' , '뷰티' , '200800' , '헤어' , '200800050' , '헤어스타일링');</v>
      </c>
      <c r="B128" s="23">
        <v>200</v>
      </c>
      <c r="C128" s="24" t="s">
        <v>190</v>
      </c>
      <c r="D128" s="23">
        <v>200800</v>
      </c>
      <c r="E128" s="24" t="s">
        <v>232</v>
      </c>
      <c r="F128" s="23">
        <v>200800050</v>
      </c>
      <c r="G128" s="24" t="s">
        <v>237</v>
      </c>
    </row>
    <row r="129" spans="1:7" ht="12.75">
      <c r="A129" s="5" t="str">
        <f t="shared" si="1"/>
        <v>INSERT INTO CATEGORIES ( LargeCategoryCode , LargeCategoryName , MidCategoryCode , MidCategoryName , SmallCategoryCode , SmallCategoryName ) VALUES ( '200' , '뷰티' , '200800' , '헤어' , '200800060' , '헤어세트');</v>
      </c>
      <c r="B129" s="23">
        <v>200</v>
      </c>
      <c r="C129" s="24" t="s">
        <v>190</v>
      </c>
      <c r="D129" s="23">
        <v>200800</v>
      </c>
      <c r="E129" s="24" t="s">
        <v>232</v>
      </c>
      <c r="F129" s="23">
        <v>200800060</v>
      </c>
      <c r="G129" s="24" t="s">
        <v>238</v>
      </c>
    </row>
    <row r="130" spans="1:7" ht="12.75">
      <c r="A130" s="5" t="str">
        <f t="shared" si="1"/>
        <v>INSERT INTO CATEGORIES ( LargeCategoryCode , LargeCategoryName , MidCategoryCode , MidCategoryName , SmallCategoryCode , SmallCategoryName ) VALUES ( '200' , '뷰티' , '200800' , '헤어' , '200800070' , '염색/파마');</v>
      </c>
      <c r="B130" s="23">
        <v>200</v>
      </c>
      <c r="C130" s="24" t="s">
        <v>190</v>
      </c>
      <c r="D130" s="23">
        <v>200800</v>
      </c>
      <c r="E130" s="24" t="s">
        <v>232</v>
      </c>
      <c r="F130" s="23">
        <v>200800070</v>
      </c>
      <c r="G130" s="24" t="s">
        <v>239</v>
      </c>
    </row>
    <row r="131" spans="1:7" ht="12.75">
      <c r="A131" s="5" t="str">
        <f t="shared" si="1"/>
        <v>INSERT INTO CATEGORIES ( LargeCategoryCode , LargeCategoryName , MidCategoryCode , MidCategoryName , SmallCategoryCode , SmallCategoryName ) VALUES ( '200' , '뷰티' , '200900' , '바디' , '200900010' , '샤워/입욕용품');</v>
      </c>
      <c r="B131" s="23">
        <v>200</v>
      </c>
      <c r="C131" s="24" t="s">
        <v>190</v>
      </c>
      <c r="D131" s="23">
        <v>200900</v>
      </c>
      <c r="E131" s="24" t="s">
        <v>240</v>
      </c>
      <c r="F131" s="23">
        <v>200900010</v>
      </c>
      <c r="G131" s="24" t="s">
        <v>241</v>
      </c>
    </row>
    <row r="132" spans="1:7" ht="12.75">
      <c r="A132" s="5" t="str">
        <f t="shared" si="1"/>
        <v>INSERT INTO CATEGORIES ( LargeCategoryCode , LargeCategoryName , MidCategoryCode , MidCategoryName , SmallCategoryCode , SmallCategoryName ) VALUES ( '200' , '뷰티' , '200900' , '바디' , '200900020' , '바디로션/크림');</v>
      </c>
      <c r="B132" s="23">
        <v>200</v>
      </c>
      <c r="C132" s="24" t="s">
        <v>190</v>
      </c>
      <c r="D132" s="23">
        <v>200900</v>
      </c>
      <c r="E132" s="24" t="s">
        <v>240</v>
      </c>
      <c r="F132" s="23">
        <v>200900020</v>
      </c>
      <c r="G132" s="24" t="s">
        <v>242</v>
      </c>
    </row>
    <row r="133" spans="1:7" ht="12.75">
      <c r="A133" s="5" t="str">
        <f t="shared" si="1"/>
        <v>INSERT INTO CATEGORIES ( LargeCategoryCode , LargeCategoryName , MidCategoryCode , MidCategoryName , SmallCategoryCode , SmallCategoryName ) VALUES ( '200' , '뷰티' , '200900' , '바디' , '200900030' , '핸드/풋/데오');</v>
      </c>
      <c r="B133" s="23">
        <v>200</v>
      </c>
      <c r="C133" s="24" t="s">
        <v>190</v>
      </c>
      <c r="D133" s="23">
        <v>200900</v>
      </c>
      <c r="E133" s="24" t="s">
        <v>240</v>
      </c>
      <c r="F133" s="23">
        <v>200900030</v>
      </c>
      <c r="G133" s="24" t="s">
        <v>243</v>
      </c>
    </row>
    <row r="134" spans="1:7" ht="12.75">
      <c r="A134" s="5" t="str">
        <f t="shared" si="1"/>
        <v>INSERT INTO CATEGORIES ( LargeCategoryCode , LargeCategoryName , MidCategoryCode , MidCategoryName , SmallCategoryCode , SmallCategoryName ) VALUES ( '200' , '뷰티' , '200900' , '바디' , '200900040' , '제모/슬리밍/청결제');</v>
      </c>
      <c r="B134" s="23">
        <v>200</v>
      </c>
      <c r="C134" s="24" t="s">
        <v>190</v>
      </c>
      <c r="D134" s="23">
        <v>200900</v>
      </c>
      <c r="E134" s="24" t="s">
        <v>240</v>
      </c>
      <c r="F134" s="23">
        <v>200900040</v>
      </c>
      <c r="G134" s="26" t="s">
        <v>244</v>
      </c>
    </row>
  </sheetData>
  <phoneticPr fontId="15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CODE</vt:lpstr>
      <vt:lpstr>CATEGORIES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merong</dc:creator>
  <cp:lastModifiedBy>USER</cp:lastModifiedBy>
  <cp:lastPrinted>2012-04-10T10:50:49Z</cp:lastPrinted>
  <dcterms:created xsi:type="dcterms:W3CDTF">2007-08-28T03:03:56Z</dcterms:created>
  <dcterms:modified xsi:type="dcterms:W3CDTF">2019-06-19T11:53:03Z</dcterms:modified>
</cp:coreProperties>
</file>